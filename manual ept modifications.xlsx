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_adjust_now" sheetId="1" r:id="rId5"/>
    <sheet state="visible" name="results_export" sheetId="2" r:id="rId6"/>
    <sheet state="hidden" name="Copy of formato_libre" sheetId="3" r:id="rId7"/>
    <sheet state="hidden" name="KFC" sheetId="4" r:id="rId8"/>
    <sheet state="hidden" name="KFC mirror" sheetId="5" r:id="rId9"/>
    <sheet state="hidden" name="franchise diccionary" sheetId="6" r:id="rId10"/>
  </sheets>
  <definedNames/>
  <calcPr/>
</workbook>
</file>

<file path=xl/sharedStrings.xml><?xml version="1.0" encoding="utf-8"?>
<sst xmlns="http://schemas.openxmlformats.org/spreadsheetml/2006/main" count="3534" uniqueCount="2445">
  <si>
    <t>wave</t>
  </si>
  <si>
    <t>Vendor code</t>
  </si>
  <si>
    <t>Flag</t>
  </si>
  <si>
    <t>EPT min</t>
  </si>
  <si>
    <t>last_executed_at</t>
  </si>
  <si>
    <t>manual_adjustment</t>
  </si>
  <si>
    <t>executed_at</t>
  </si>
  <si>
    <t>flag</t>
  </si>
  <si>
    <t>adjustment_scope</t>
  </si>
  <si>
    <t>franchise_id</t>
  </si>
  <si>
    <t>franchise_name</t>
  </si>
  <si>
    <t>vendor_code</t>
  </si>
  <si>
    <t>vertical_type</t>
  </si>
  <si>
    <t>store_name</t>
  </si>
  <si>
    <t>ept_old</t>
  </si>
  <si>
    <t>ept_change_pct</t>
  </si>
  <si>
    <t>ept_new</t>
  </si>
  <si>
    <t>ept_change_min</t>
  </si>
  <si>
    <t>Franchise</t>
  </si>
  <si>
    <t>Grade</t>
  </si>
  <si>
    <t>Vendor name</t>
  </si>
  <si>
    <t>EPT last week</t>
  </si>
  <si>
    <t>Difference</t>
  </si>
  <si>
    <t>AWT last week</t>
  </si>
  <si>
    <t>Orders last week</t>
  </si>
  <si>
    <t>FIR last week</t>
  </si>
  <si>
    <t>Uso FIR</t>
  </si>
  <si>
    <t>FIR vertical-cuisine</t>
  </si>
  <si>
    <t>EPT Median Vendor Franchise-grade</t>
  </si>
  <si>
    <t>HPT last week</t>
  </si>
  <si>
    <t>AWT10 last week</t>
  </si>
  <si>
    <t>PP last week</t>
  </si>
  <si>
    <t>AWT_0</t>
  </si>
  <si>
    <t>AWT_4+</t>
  </si>
  <si>
    <t>excluido_de_piloto</t>
  </si>
  <si>
    <t>excluido_de_w11</t>
  </si>
  <si>
    <t>chicken o postres</t>
  </si>
  <si>
    <t>reduce</t>
  </si>
  <si>
    <t>modified_at</t>
  </si>
  <si>
    <t>null</t>
  </si>
  <si>
    <t>AAA</t>
  </si>
  <si>
    <t>Verdulería El Fénix - Ex Panchito</t>
  </si>
  <si>
    <t>High preptime | FIR vertical-cuisine</t>
  </si>
  <si>
    <t>2026-08-17 17:17</t>
  </si>
  <si>
    <t>A</t>
  </si>
  <si>
    <t>Fruteria Y Verduleria - Rico Huerto</t>
  </si>
  <si>
    <t>Kamadi</t>
  </si>
  <si>
    <t>C</t>
  </si>
  <si>
    <t>Kamadi San Martín</t>
  </si>
  <si>
    <t>Juan Maestro</t>
  </si>
  <si>
    <t>Juan Maestro Santa Rosa 976</t>
  </si>
  <si>
    <t>Median Franchise-Grade</t>
  </si>
  <si>
    <t>Club del Gohan - LATAM</t>
  </si>
  <si>
    <t>Club Del Gohan - Ñuñoa</t>
  </si>
  <si>
    <t>Local</t>
  </si>
  <si>
    <t>orders</t>
  </si>
  <si>
    <t>uber</t>
  </si>
  <si>
    <t>Doggis</t>
  </si>
  <si>
    <t>ID Courier</t>
  </si>
  <si>
    <t>Doggis Lider San Joaquín</t>
  </si>
  <si>
    <t>peya</t>
  </si>
  <si>
    <t>Nombre cuenta Courier</t>
  </si>
  <si>
    <t>diff</t>
  </si>
  <si>
    <t>Acceptance Courier</t>
  </si>
  <si>
    <t>Órdenes Courier</t>
  </si>
  <si>
    <t>ID App</t>
  </si>
  <si>
    <t>Nombre cuenta App</t>
  </si>
  <si>
    <t>nope, este es el TT</t>
  </si>
  <si>
    <t>Acceptance App</t>
  </si>
  <si>
    <t>Órdenes App</t>
  </si>
  <si>
    <t>Gap (Courier - App)</t>
  </si>
  <si>
    <t>Star Burger.</t>
  </si>
  <si>
    <t>KFC Plaza Maipú</t>
  </si>
  <si>
    <t>559429</t>
  </si>
  <si>
    <t>KFC El Mariscal</t>
  </si>
  <si>
    <t>KFC Plaza Maipú --</t>
  </si>
  <si>
    <t>El Humilde Churrasco</t>
  </si>
  <si>
    <t>KFC Plaza Maipú 2</t>
  </si>
  <si>
    <t>Local hero CL</t>
  </si>
  <si>
    <t>Shawarma El Porvenir</t>
  </si>
  <si>
    <t>00169000032Pof3AAC</t>
  </si>
  <si>
    <t>KFC Patio Rahue</t>
  </si>
  <si>
    <t>EPT uber</t>
  </si>
  <si>
    <t>KFC Patio Rahue --</t>
  </si>
  <si>
    <t>001690000350Yt9AAE</t>
  </si>
  <si>
    <t>EPT peya</t>
  </si>
  <si>
    <t>KFC</t>
  </si>
  <si>
    <t>3INA</t>
  </si>
  <si>
    <t>B</t>
  </si>
  <si>
    <t>0016900002ndd0NAAQ</t>
  </si>
  <si>
    <t>3P King</t>
  </si>
  <si>
    <t>KFC Zf Punta Arenas</t>
  </si>
  <si>
    <t>0011r00002VoHwjAAF</t>
  </si>
  <si>
    <t>quité los mayores a 30 mins</t>
  </si>
  <si>
    <t>58 Market</t>
  </si>
  <si>
    <t>comparacion</t>
  </si>
  <si>
    <t>0011r00002VoIJjAAN</t>
  </si>
  <si>
    <t>531058</t>
  </si>
  <si>
    <t>A Lo Perucho Burger</t>
  </si>
  <si>
    <t>KFC Centro Calama</t>
  </si>
  <si>
    <t>00169000030UQuoAAG</t>
  </si>
  <si>
    <t>Abrakebab</t>
  </si>
  <si>
    <t>0011r00002VoI4pAAF</t>
  </si>
  <si>
    <t>Abrakebabpizza</t>
  </si>
  <si>
    <t>0011r00002VoI0IAAV</t>
  </si>
  <si>
    <t>Achoclonados</t>
  </si>
  <si>
    <t>0011r00002VoI2AAAV</t>
  </si>
  <si>
    <t>Adagio Teas</t>
  </si>
  <si>
    <t>0016900002ZBeLuAAL</t>
  </si>
  <si>
    <t>Adagios Tea</t>
  </si>
  <si>
    <t>0011r00002VoIN5AAN</t>
  </si>
  <si>
    <t>KFC El Rosal</t>
  </si>
  <si>
    <t>Affogato Waffles Helados Y Cafe</t>
  </si>
  <si>
    <t>0016900002dYydDAAS</t>
  </si>
  <si>
    <t>Ahorra Food Depot</t>
  </si>
  <si>
    <t>0011r00002VoINZAA3</t>
  </si>
  <si>
    <t>Sushi San 828</t>
  </si>
  <si>
    <t>Aji Seco</t>
  </si>
  <si>
    <t>KFC El Rosal --</t>
  </si>
  <si>
    <t>0016900002fA1sAAAS</t>
  </si>
  <si>
    <t>Ají y Limón</t>
  </si>
  <si>
    <t>0016900002hloM5AAI</t>
  </si>
  <si>
    <t>Akai Sushi</t>
  </si>
  <si>
    <t>0016900002dYyj2AAC</t>
  </si>
  <si>
    <t>Al Jazeera</t>
  </si>
  <si>
    <t>00169000030UWoOAAW</t>
  </si>
  <si>
    <t>Al Paso de Asis</t>
  </si>
  <si>
    <t>0011r00002VoHwkAAF</t>
  </si>
  <si>
    <t>Alemán Experto</t>
  </si>
  <si>
    <t>0011r00002VoIPAAA3</t>
  </si>
  <si>
    <t>KFC Serrano Castro</t>
  </si>
  <si>
    <t>Poked - LATAM</t>
  </si>
  <si>
    <t>tomé sólo reducciones</t>
  </si>
  <si>
    <t>ajuste</t>
  </si>
  <si>
    <t>Poked  -  Ñuñoa.</t>
  </si>
  <si>
    <t>KFC Serrano Castro --</t>
  </si>
  <si>
    <t>311955</t>
  </si>
  <si>
    <t>KFC Angamos</t>
  </si>
  <si>
    <t>Ali Kebab</t>
  </si>
  <si>
    <t>0011r00002VoIR5AAN</t>
  </si>
  <si>
    <t>KFC Castro</t>
  </si>
  <si>
    <t>Aliagro</t>
  </si>
  <si>
    <t>0016900002dYyK3AAK</t>
  </si>
  <si>
    <t>All Nutrition</t>
  </si>
  <si>
    <t>00169000030UWoPAAW</t>
  </si>
  <si>
    <t>Allergika</t>
  </si>
  <si>
    <t>KFC Patronato</t>
  </si>
  <si>
    <t>0011r00002VoIQIAA3</t>
  </si>
  <si>
    <t>menos de 5 mins los pasé a 5 mins</t>
  </si>
  <si>
    <t>American (mechado)</t>
  </si>
  <si>
    <t>0011r00002VoIQNAA3</t>
  </si>
  <si>
    <t>American Box</t>
  </si>
  <si>
    <t>KFC Patronato --</t>
  </si>
  <si>
    <t>484231</t>
  </si>
  <si>
    <t>0011r00002VoIQFAA3</t>
  </si>
  <si>
    <t>KFC Teniente Cruz</t>
  </si>
  <si>
    <t>American Burger</t>
  </si>
  <si>
    <t>0011r00002VoIS4AAN</t>
  </si>
  <si>
    <t>Carl's Jr.</t>
  </si>
  <si>
    <t>Americanos</t>
  </si>
  <si>
    <t>0011r00002VoISiAAN</t>
  </si>
  <si>
    <t>Carl's Jr - Antofagasta</t>
  </si>
  <si>
    <t>Amorío Peruano</t>
  </si>
  <si>
    <t>0011r00002VoIT9AAN</t>
  </si>
  <si>
    <t>Amus Buch Salads &amp; Sandwich</t>
  </si>
  <si>
    <t>0011r00002VoIPYAA3</t>
  </si>
  <si>
    <t>Andes Sushi</t>
  </si>
  <si>
    <t>0011r00002VoITBAA3</t>
  </si>
  <si>
    <t>Andy Sushi</t>
  </si>
  <si>
    <t>data week 31</t>
  </si>
  <si>
    <t>00169000030UWoTAAW</t>
  </si>
  <si>
    <t>Animal</t>
  </si>
  <si>
    <t>202154</t>
  </si>
  <si>
    <t>0011r00002VoIQAAA3</t>
  </si>
  <si>
    <t>Animania</t>
  </si>
  <si>
    <t>KFC Ovalle</t>
  </si>
  <si>
    <t>0016900002p6GaMAAU</t>
  </si>
  <si>
    <t>KFC El Belloto</t>
  </si>
  <si>
    <t>Antica Gelateria del Corso</t>
  </si>
  <si>
    <t>0011r00002VoIU9AAN</t>
  </si>
  <si>
    <t>Aqua sushi</t>
  </si>
  <si>
    <t>KFC El Belloto --</t>
  </si>
  <si>
    <t>0016900003507O3AAI</t>
  </si>
  <si>
    <t>Argentina Pizzería</t>
  </si>
  <si>
    <t>0011r00002VoI8vAAF</t>
  </si>
  <si>
    <t>Arlecchino</t>
  </si>
  <si>
    <t>0011r00002VoHyEAAV</t>
  </si>
  <si>
    <t>Aromas del Perú</t>
  </si>
  <si>
    <t>0011r00002VoIMuAAN</t>
  </si>
  <si>
    <t>27 julio a 02 agosto</t>
  </si>
  <si>
    <t>Asoko Sushi</t>
  </si>
  <si>
    <t>KFC - El Belloto</t>
  </si>
  <si>
    <t>Nexo Sushi - Santiago Centro</t>
  </si>
  <si>
    <t>0016900002f86dNAAQ</t>
  </si>
  <si>
    <t>449793</t>
  </si>
  <si>
    <t>Astoria</t>
  </si>
  <si>
    <t>KFC Santa Isabel</t>
  </si>
  <si>
    <t>0016900002dYyssAAC</t>
  </si>
  <si>
    <t>Awua Salada</t>
  </si>
  <si>
    <t>KFC Estado</t>
  </si>
  <si>
    <t>0016900002c5Ap8AAE</t>
  </si>
  <si>
    <t>BBpro</t>
  </si>
  <si>
    <t>0011r00002XcEFcAAN</t>
  </si>
  <si>
    <t>KFC Estado --</t>
  </si>
  <si>
    <t>BURGERHOUSE</t>
  </si>
  <si>
    <t>0011r00002VoI9fAAF</t>
  </si>
  <si>
    <t>Bac Café Francés</t>
  </si>
  <si>
    <t>0011r00002VoIW1AAN</t>
  </si>
  <si>
    <t>Barbazul</t>
  </si>
  <si>
    <t>0011r00002VoIQsAAN</t>
  </si>
  <si>
    <t>Bariloche</t>
  </si>
  <si>
    <t>KFC - Estado</t>
  </si>
  <si>
    <t>0016900002dYyGdAAK</t>
  </si>
  <si>
    <t>Barra Chalaca</t>
  </si>
  <si>
    <t>0011r00002Xc4MjAAJ</t>
  </si>
  <si>
    <t>Barra Zero</t>
  </si>
  <si>
    <t>0016900002nctNWAAY</t>
  </si>
  <si>
    <t>Barrio Chicken</t>
  </si>
  <si>
    <t>Santa Brasa</t>
  </si>
  <si>
    <t>0016900002m29QBAAY</t>
  </si>
  <si>
    <t>Baza</t>
  </si>
  <si>
    <t>KFC Viña Centro</t>
  </si>
  <si>
    <t>00169000032QahRAAS</t>
  </si>
  <si>
    <t>Santa Brasa Costanera</t>
  </si>
  <si>
    <t>Beauty Plus</t>
  </si>
  <si>
    <t>0016900002c5ApDAAU</t>
  </si>
  <si>
    <t>Bechef</t>
  </si>
  <si>
    <t>KFC Viña Centro --</t>
  </si>
  <si>
    <t>mins</t>
  </si>
  <si>
    <t>0011r00002XKGSwAAP</t>
  </si>
  <si>
    <t>Beef Burger</t>
  </si>
  <si>
    <t>0016900002r638KAAQ</t>
  </si>
  <si>
    <t>Befoods</t>
  </si>
  <si>
    <t>132772</t>
  </si>
  <si>
    <t>0016900002dYystAAC</t>
  </si>
  <si>
    <t>Bekoko</t>
  </si>
  <si>
    <t>KFC Patio Centro</t>
  </si>
  <si>
    <t>0016900002dYyFpAAK</t>
  </si>
  <si>
    <t>Bendita Sopaipilla</t>
  </si>
  <si>
    <t>0011r00002XHwEdAAL</t>
  </si>
  <si>
    <t>Bendito Sushi</t>
  </si>
  <si>
    <t>0016900002f8vlQAAQ</t>
  </si>
  <si>
    <t>Benny</t>
  </si>
  <si>
    <t>0011r00002VoIS8AAN</t>
  </si>
  <si>
    <t>Benvenutto</t>
  </si>
  <si>
    <t>0016900002dYyefAAC</t>
  </si>
  <si>
    <t>Bestias Burger</t>
  </si>
  <si>
    <t>0016900002ZROq4AAH</t>
  </si>
  <si>
    <t>Bex Burger</t>
  </si>
  <si>
    <t>00169000032RFJOAA4</t>
  </si>
  <si>
    <t>Biancolatte</t>
  </si>
  <si>
    <t>0016900002ymw6pAAA</t>
  </si>
  <si>
    <t>Bloke Burger</t>
  </si>
  <si>
    <t>0011r00002WeIjNAAV</t>
  </si>
  <si>
    <t>Bocado Breik - LATAM</t>
  </si>
  <si>
    <t>KFC Eu Las Rejas</t>
  </si>
  <si>
    <t>0016900002c6Z0XAAU</t>
  </si>
  <si>
    <t>Boka Sushi</t>
  </si>
  <si>
    <t>Itacate - LATAM</t>
  </si>
  <si>
    <t>0016900002dYyD8AAK</t>
  </si>
  <si>
    <t>Bombaburger</t>
  </si>
  <si>
    <t>0011r00002XKGUEAA5</t>
  </si>
  <si>
    <t>476402</t>
  </si>
  <si>
    <t>Bomboburger</t>
  </si>
  <si>
    <t>Itacate Burritos - Ñuñoa</t>
  </si>
  <si>
    <t>0011r00002VoI2EAAV</t>
  </si>
  <si>
    <t>KFC Munita</t>
  </si>
  <si>
    <t>KFC Eu Las Rejas --</t>
  </si>
  <si>
    <t>BonDona</t>
  </si>
  <si>
    <t>0011r00002VoIC0AAN</t>
  </si>
  <si>
    <t>Bonafide</t>
  </si>
  <si>
    <t>0016900002kW12IAAS</t>
  </si>
  <si>
    <t>Bonsai Sushi</t>
  </si>
  <si>
    <t>0016900002kX6EnAAK</t>
  </si>
  <si>
    <t>Boost</t>
  </si>
  <si>
    <t>0011r00002Xc4N8AAJ</t>
  </si>
  <si>
    <t>Booup</t>
  </si>
  <si>
    <t>0011r00002VoI8TAAV</t>
  </si>
  <si>
    <t>Borderío</t>
  </si>
  <si>
    <t>0011r00002VoIBlAAN</t>
  </si>
  <si>
    <t>Boston Burger</t>
  </si>
  <si>
    <t>KFC La Fabrica</t>
  </si>
  <si>
    <t>0016900002p6Lp6AAE</t>
  </si>
  <si>
    <t>181314</t>
  </si>
  <si>
    <t>Botilleria Don Fritz</t>
  </si>
  <si>
    <t>KFC Paseo Estacion</t>
  </si>
  <si>
    <t>0016900002dYyLfAAK</t>
  </si>
  <si>
    <t>KFC La Fabrica --</t>
  </si>
  <si>
    <t>Botilleria Drink</t>
  </si>
  <si>
    <t>0016900002dYyLgAAK</t>
  </si>
  <si>
    <t>Botilleria El Barba Larga</t>
  </si>
  <si>
    <t>0016900002dYyLiAAK</t>
  </si>
  <si>
    <t>Botilleria Entregrados</t>
  </si>
  <si>
    <t>0016900002dYyLoAAK</t>
  </si>
  <si>
    <t>Botilleria Horizonte</t>
  </si>
  <si>
    <t>0016900002dYyLsAAK</t>
  </si>
  <si>
    <t>Royal Ranch Sur</t>
  </si>
  <si>
    <t>Botilleria Jaimel</t>
  </si>
  <si>
    <t>0016900002dYyM0AAK</t>
  </si>
  <si>
    <t>Botilleria La Roca</t>
  </si>
  <si>
    <t>0016900002dYorTAAS</t>
  </si>
  <si>
    <t>Botilleria Mi Market</t>
  </si>
  <si>
    <t>0016900002dYyMHAA0</t>
  </si>
  <si>
    <t>Botilleria Too El Rato</t>
  </si>
  <si>
    <t>161827</t>
  </si>
  <si>
    <t>KFC Portal Osorno</t>
  </si>
  <si>
    <t>0016900002dYyMNAA0</t>
  </si>
  <si>
    <t>KFC Calama</t>
  </si>
  <si>
    <t>Botilleria Tumarket</t>
  </si>
  <si>
    <t>0016900002dYyLdAAK</t>
  </si>
  <si>
    <t>KFC Portal Osorno --</t>
  </si>
  <si>
    <t>Botillería 40 Grados</t>
  </si>
  <si>
    <t>0016900002dYyLeAAK</t>
  </si>
  <si>
    <t>Botillería Blue Market</t>
  </si>
  <si>
    <t>0016900002dYyLhAAK</t>
  </si>
  <si>
    <t>Botillería El Tío</t>
  </si>
  <si>
    <t>0016900002dYyLpAAK</t>
  </si>
  <si>
    <t>KFC Mall Portal Osorno</t>
  </si>
  <si>
    <t>Botillería Internacional</t>
  </si>
  <si>
    <t>0016900002dYyLtAAK</t>
  </si>
  <si>
    <t>Botillería Jona’s</t>
  </si>
  <si>
    <t>00169000030UWoiAAG</t>
  </si>
  <si>
    <t>Botillería La Economica</t>
  </si>
  <si>
    <t>449787</t>
  </si>
  <si>
    <t>0016900002dYyLzAAK</t>
  </si>
  <si>
    <t>KFC Patio Florida</t>
  </si>
  <si>
    <t>KFC Arica Centro</t>
  </si>
  <si>
    <t>Botillería La Promo</t>
  </si>
  <si>
    <t>0016900002dYyM2AAK</t>
  </si>
  <si>
    <t>Botillería La Taquilla</t>
  </si>
  <si>
    <t>Itacate Burritos - Maipú El Carmen</t>
  </si>
  <si>
    <t>0016900002dYyM3AAK</t>
  </si>
  <si>
    <t>Botillería Latitud Sur</t>
  </si>
  <si>
    <t>KFC Arica Centro --</t>
  </si>
  <si>
    <t>0011r00002VoITfAAN</t>
  </si>
  <si>
    <t>Botillería Lo Barnechea</t>
  </si>
  <si>
    <t>0011r00002VoIKDAA3</t>
  </si>
  <si>
    <t>Botillería Los Amigos</t>
  </si>
  <si>
    <t>0016900002dYyM7AAK</t>
  </si>
  <si>
    <t>Botillería Los Mosqueteros</t>
  </si>
  <si>
    <t>0016900002dYyM8AAK</t>
  </si>
  <si>
    <t>Botillería Los Negros</t>
  </si>
  <si>
    <t>0016900002dYyM9AAK</t>
  </si>
  <si>
    <t>Botillería Mangoos</t>
  </si>
  <si>
    <t>0016900002dYyMCAA0</t>
  </si>
  <si>
    <t>Botillería Moscú</t>
  </si>
  <si>
    <t>0016900002sWBKuAAO</t>
  </si>
  <si>
    <t>Botillería Oasis</t>
  </si>
  <si>
    <t>465668</t>
  </si>
  <si>
    <t>0011r00002Xc0ypAAB</t>
  </si>
  <si>
    <t>Boulangerie Paname</t>
  </si>
  <si>
    <t>KFC Lampa</t>
  </si>
  <si>
    <t>0011r00002Xc2Z3AAJ</t>
  </si>
  <si>
    <t>Bowraps</t>
  </si>
  <si>
    <t>0016900002dYyl2AAC</t>
  </si>
  <si>
    <t>KFC Libertad Viña</t>
  </si>
  <si>
    <t>Bozzo Chocolates</t>
  </si>
  <si>
    <t>0016900002dYyHFAA0</t>
  </si>
  <si>
    <t>Braloy Mascotas</t>
  </si>
  <si>
    <t>KFC Libertad Viña --</t>
  </si>
  <si>
    <t>0016900002cCitiAAC</t>
  </si>
  <si>
    <t>Brando</t>
  </si>
  <si>
    <t>0011r00002VoI9rAAF</t>
  </si>
  <si>
    <t>Bravissimo Chile</t>
  </si>
  <si>
    <t>0016900002tfytzAAA</t>
  </si>
  <si>
    <t>Mamut</t>
  </si>
  <si>
    <t>KFC - Libertad</t>
  </si>
  <si>
    <t>BredenMaster</t>
  </si>
  <si>
    <t>0011r00002Xc2xYAAR</t>
  </si>
  <si>
    <t>125266</t>
  </si>
  <si>
    <t>Breko Sushi</t>
  </si>
  <si>
    <t>Mamut Mall Plaza Bio Bio</t>
  </si>
  <si>
    <t>0016900003525MUAAY</t>
  </si>
  <si>
    <t>Bronx Burger</t>
  </si>
  <si>
    <t>00169000031uVLrAAM</t>
  </si>
  <si>
    <t>Brussels Heart of Chocolate</t>
  </si>
  <si>
    <t>0016900002hloMVAAY</t>
  </si>
  <si>
    <t>Bubble Waffles</t>
  </si>
  <si>
    <t>KFC Paseo Estacion --</t>
  </si>
  <si>
    <t>0011r00002Xc3hbAAB</t>
  </si>
  <si>
    <t>Budo Sushi</t>
  </si>
  <si>
    <t>0011r00002VoIU4AAN</t>
  </si>
  <si>
    <t>Bufalo Beef</t>
  </si>
  <si>
    <t>0011r00002VoIRiAAN</t>
  </si>
  <si>
    <t>521112</t>
  </si>
  <si>
    <t>Buffalo Waffles</t>
  </si>
  <si>
    <t>KFC Pionero</t>
  </si>
  <si>
    <t>0011r00002Xc4QbAAJ</t>
  </si>
  <si>
    <t>Buffet (mechado)</t>
  </si>
  <si>
    <t>0011r00002VoIKjAAN</t>
  </si>
  <si>
    <t>Buffet Express</t>
  </si>
  <si>
    <t>0016900002cCrhUAAS</t>
  </si>
  <si>
    <t>Bulldog Sport Bar &amp; Grill</t>
  </si>
  <si>
    <t>0011r00002Xc5AbAAJ</t>
  </si>
  <si>
    <t>Sushi Nikkei Oriental Las Condes</t>
  </si>
  <si>
    <t>Bulldog´s</t>
  </si>
  <si>
    <t>0011r00002VoIVUAA3</t>
  </si>
  <si>
    <t>Burger 7</t>
  </si>
  <si>
    <t>0016900002f86dMAAQ</t>
  </si>
  <si>
    <t>Burger Bar</t>
  </si>
  <si>
    <t>KFC Irarrazaval</t>
  </si>
  <si>
    <t>0016900002cCrgMAAS</t>
  </si>
  <si>
    <t>Burger Beef</t>
  </si>
  <si>
    <t>0011r00002XcDDBAA3</t>
  </si>
  <si>
    <t>531914</t>
  </si>
  <si>
    <t>Burger Bros</t>
  </si>
  <si>
    <t>0016900002dYyNAAA0</t>
  </si>
  <si>
    <t>KFC Metro Lo Ovalle</t>
  </si>
  <si>
    <t>Burger Club</t>
  </si>
  <si>
    <t>KFC Irarrazaval --</t>
  </si>
  <si>
    <t>0016900002f7fmDAAQ</t>
  </si>
  <si>
    <t>Burger House</t>
  </si>
  <si>
    <t>0011r00002VoHvwAAF</t>
  </si>
  <si>
    <t>Burger King</t>
  </si>
  <si>
    <t>0011r00002XcDGOAA3</t>
  </si>
  <si>
    <t>Burger home</t>
  </si>
  <si>
    <t>0016900002p5fQ1AAI</t>
  </si>
  <si>
    <t>Burger truck</t>
  </si>
  <si>
    <t>0011r00002VoI7fAAF</t>
  </si>
  <si>
    <t>Burgery</t>
  </si>
  <si>
    <t>0011r00002XcENQAA3</t>
  </si>
  <si>
    <t>Burrito Vegan</t>
  </si>
  <si>
    <t>0011r00002WIF0dAAH</t>
  </si>
  <si>
    <t>C' Bon - LATAM</t>
  </si>
  <si>
    <t>0011r00002VoIELAA3</t>
  </si>
  <si>
    <t>C'Est Si Bon</t>
  </si>
  <si>
    <t>0016900002YkkqMAAR</t>
  </si>
  <si>
    <t>CLUB O REÑACA</t>
  </si>
  <si>
    <t>533131</t>
  </si>
  <si>
    <t>0016900002dYyFqAAK</t>
  </si>
  <si>
    <t>KFC Avenida Alemania</t>
  </si>
  <si>
    <t>Cada Loco Con Su Churro</t>
  </si>
  <si>
    <t>Subway</t>
  </si>
  <si>
    <t>0016900002dYoruAAC</t>
  </si>
  <si>
    <t>Cadena Upa</t>
  </si>
  <si>
    <t>KFC Irarrázaval</t>
  </si>
  <si>
    <t>0016900002m2g0IAAQ</t>
  </si>
  <si>
    <t>Subway Santo Domingo</t>
  </si>
  <si>
    <t>Caffarena</t>
  </si>
  <si>
    <t>0011r00002VoIBYAA3</t>
  </si>
  <si>
    <t>Café Cassis</t>
  </si>
  <si>
    <t>0011r00002XcETFAA3</t>
  </si>
  <si>
    <t>Café Miranda</t>
  </si>
  <si>
    <t>0011r00002VoIEhAAN</t>
  </si>
  <si>
    <t>Café Moritz</t>
  </si>
  <si>
    <t>0011r00002VoI8SAAV</t>
  </si>
  <si>
    <t>Cakao</t>
  </si>
  <si>
    <t>234339</t>
  </si>
  <si>
    <t>0011r00002VoI1MAAV</t>
  </si>
  <si>
    <t>Camposorno</t>
  </si>
  <si>
    <t>KFC Quillota</t>
  </si>
  <si>
    <t>KFC Concepción Bio Bio</t>
  </si>
  <si>
    <t>0011r00002VoI6iAAF</t>
  </si>
  <si>
    <t>Capital Grille</t>
  </si>
  <si>
    <t>0011r00002VoHxgAAF</t>
  </si>
  <si>
    <t>Caprioli</t>
  </si>
  <si>
    <t>0016900002dYyMXAA0</t>
  </si>
  <si>
    <t>KFC Concepción Bio Bio --</t>
  </si>
  <si>
    <t>Caramel</t>
  </si>
  <si>
    <t>0011r00002VoIRsAAN</t>
  </si>
  <si>
    <t>Caribe Burger</t>
  </si>
  <si>
    <t>0011r00002VoHvxAAF</t>
  </si>
  <si>
    <t>0016900002dZ6GmAAK</t>
  </si>
  <si>
    <t>Daruma Sushi</t>
  </si>
  <si>
    <t>Carnaval</t>
  </si>
  <si>
    <t>592065</t>
  </si>
  <si>
    <t>0016900002dYySQAA0</t>
  </si>
  <si>
    <t>KFC Valdivia Picarte</t>
  </si>
  <si>
    <t>Carnes Kar</t>
  </si>
  <si>
    <t>KFC Mall Plaza Bio Bio</t>
  </si>
  <si>
    <t>Daruma Sushi Norte</t>
  </si>
  <si>
    <t>00169000034bC71AAE</t>
  </si>
  <si>
    <t>Carnes Productor</t>
  </si>
  <si>
    <t>0016900002f9pCiAAI</t>
  </si>
  <si>
    <t>Carnes RV</t>
  </si>
  <si>
    <t>0011r00002VoI7AAAV</t>
  </si>
  <si>
    <t>Carnes Santa Ana</t>
  </si>
  <si>
    <t>0016900002dYyMcAAK</t>
  </si>
  <si>
    <t>Carnes Y Cecinas Venezia</t>
  </si>
  <si>
    <t>KFC Padre Hurtado</t>
  </si>
  <si>
    <t>0016900002m2g0FAAQ</t>
  </si>
  <si>
    <t>484234</t>
  </si>
  <si>
    <t>Carnes a Punto</t>
  </si>
  <si>
    <t>KFC Go Talca Florida</t>
  </si>
  <si>
    <t>0016900002dYyMgAAK</t>
  </si>
  <si>
    <t>Carniceria El Expedito</t>
  </si>
  <si>
    <t>KFC Padre Hurtado --</t>
  </si>
  <si>
    <t>0011r00002VoI7eAAF</t>
  </si>
  <si>
    <t>Carnicería Granja Magdalena</t>
  </si>
  <si>
    <t>0016900002dYyMqAAK</t>
  </si>
  <si>
    <t>Carnicería Los Arrieros</t>
  </si>
  <si>
    <t>0011r00002XcEXQAA3</t>
  </si>
  <si>
    <t>Carnitas</t>
  </si>
  <si>
    <t>0011r00002XcEYxAAN</t>
  </si>
  <si>
    <t>Casa Dragon</t>
  </si>
  <si>
    <t>397573</t>
  </si>
  <si>
    <t>0016900002dYyL9AAK</t>
  </si>
  <si>
    <t>Subway Aramco Grecia - Antofagasta</t>
  </si>
  <si>
    <t>KFC Colina</t>
  </si>
  <si>
    <t>Casa Ideas</t>
  </si>
  <si>
    <t>00169000030SXumAAG</t>
  </si>
  <si>
    <t>Casa Royal</t>
  </si>
  <si>
    <t>0016900002m2g0OAAQ</t>
  </si>
  <si>
    <t>Casaideas</t>
  </si>
  <si>
    <t>0016900002w3z97AAA</t>
  </si>
  <si>
    <t>Castaño</t>
  </si>
  <si>
    <t>KFC Las Palmas</t>
  </si>
  <si>
    <t>0016900002dYyMsAAK</t>
  </si>
  <si>
    <t>Cava Las Urracas</t>
  </si>
  <si>
    <t>0016900002YhRpSAAV</t>
  </si>
  <si>
    <t>Cevasco</t>
  </si>
  <si>
    <t>130023</t>
  </si>
  <si>
    <t>0011r00002XcEZvAAN</t>
  </si>
  <si>
    <t>KFC Las Palmas --</t>
  </si>
  <si>
    <t>Chamo Burgers</t>
  </si>
  <si>
    <t>KFC Curicó</t>
  </si>
  <si>
    <t>0016900002dYydyAAC</t>
  </si>
  <si>
    <t>Chaxi Tea</t>
  </si>
  <si>
    <t>0016900002dYyX6AAK</t>
  </si>
  <si>
    <t>Cheddars Burger</t>
  </si>
  <si>
    <t>00169000030Rq54AAC</t>
  </si>
  <si>
    <t>Sushi Blues</t>
  </si>
  <si>
    <t>Chicken Chill</t>
  </si>
  <si>
    <t>0011r00002VoI5XAAV</t>
  </si>
  <si>
    <t>Chicken Factory</t>
  </si>
  <si>
    <t>Sushi Blues Marina Arauco</t>
  </si>
  <si>
    <t>00169000030VLUlAAO</t>
  </si>
  <si>
    <t>Chicken Love You</t>
  </si>
  <si>
    <t>449810</t>
  </si>
  <si>
    <t>0011r00002XcPcpAAF</t>
  </si>
  <si>
    <t>KFC Linares</t>
  </si>
  <si>
    <t>Chicken Star</t>
  </si>
  <si>
    <t>0016900002fa2cFAAQ</t>
  </si>
  <si>
    <t>Chicken What</t>
  </si>
  <si>
    <t>0011r00002VoHznAAF</t>
  </si>
  <si>
    <t>ChileDrink</t>
  </si>
  <si>
    <t>0011r00002VoHvyAAF</t>
  </si>
  <si>
    <t>KFC Espacio M</t>
  </si>
  <si>
    <t>Chili's</t>
  </si>
  <si>
    <t>0016900002Yh3jkAAB</t>
  </si>
  <si>
    <t>Chilitaly</t>
  </si>
  <si>
    <t>KFC Espacio M --</t>
  </si>
  <si>
    <t>0011r00002VoHvzAAF</t>
  </si>
  <si>
    <t>China Wok</t>
  </si>
  <si>
    <t>161063</t>
  </si>
  <si>
    <t>0011r00002VoIWUAA3</t>
  </si>
  <si>
    <t>Chocolatería Entrelagos</t>
  </si>
  <si>
    <t>0016900002f9pDCAAY</t>
  </si>
  <si>
    <t>KFC Chillán</t>
  </si>
  <si>
    <t>Chocolatería Vettel</t>
  </si>
  <si>
    <t>0011r00002VoIK4AAN</t>
  </si>
  <si>
    <t>Tarragona</t>
  </si>
  <si>
    <t>Chuck E. Cheese</t>
  </si>
  <si>
    <t>0016900002dYyHIAA0</t>
  </si>
  <si>
    <t>Churrasco Steak</t>
  </si>
  <si>
    <t>Tarragona Líder Concepción</t>
  </si>
  <si>
    <t>0016900002YhRz9AAF</t>
  </si>
  <si>
    <t>Churrascon 24/7</t>
  </si>
  <si>
    <t>0016900002xQv0hAAC</t>
  </si>
  <si>
    <t>Churrolandia</t>
  </si>
  <si>
    <t>0016900002im5SxAAI</t>
  </si>
  <si>
    <t>Churromania</t>
  </si>
  <si>
    <t>529845</t>
  </si>
  <si>
    <t>KFC Strip Patio Quilicura</t>
  </si>
  <si>
    <t>0016900002YhRzOAAV</t>
  </si>
  <si>
    <t>Churros españoles</t>
  </si>
  <si>
    <t>0016900002m2gJjAAI</t>
  </si>
  <si>
    <t>Cineplanet</t>
  </si>
  <si>
    <t>001690000351YaMAAU</t>
  </si>
  <si>
    <t>Cinna&amp;Bites</t>
  </si>
  <si>
    <t>0011r00002VoI5yAAF</t>
  </si>
  <si>
    <t>Cinnabon</t>
  </si>
  <si>
    <t>0016900002xQv80AAC</t>
  </si>
  <si>
    <t>KFC Teniente Cruz --</t>
  </si>
  <si>
    <t>Club Del Poke - LATAM</t>
  </si>
  <si>
    <t>0016900002w3zXnAAI</t>
  </si>
  <si>
    <t>Club de Perros y Gatos</t>
  </si>
  <si>
    <t>0016900002Ykc6jAAB</t>
  </si>
  <si>
    <t>Club de sushi</t>
  </si>
  <si>
    <t>0011r00002WeIbiAAF</t>
  </si>
  <si>
    <t>465572</t>
  </si>
  <si>
    <t>KFC Chamisero</t>
  </si>
  <si>
    <t>0016900002YhS3LAAV</t>
  </si>
  <si>
    <t>Coccolino</t>
  </si>
  <si>
    <t>0016900002m29Q6AAI</t>
  </si>
  <si>
    <t>Cocina de Kaleta</t>
  </si>
  <si>
    <t>00169000031uVLhAAM</t>
  </si>
  <si>
    <t>Coco Café</t>
  </si>
  <si>
    <t>0011r00002VoIQEAA3</t>
  </si>
  <si>
    <t>Combi Rock</t>
  </si>
  <si>
    <t>0016900002YmKZgAAN</t>
  </si>
  <si>
    <t>Come Fry With Me</t>
  </si>
  <si>
    <t>0016900002ZO6fDAAT</t>
  </si>
  <si>
    <t>Comida China Y Peruana Jim</t>
  </si>
  <si>
    <t>0016900002dYyTSAA0</t>
  </si>
  <si>
    <t>Conti´s - LATAM</t>
  </si>
  <si>
    <t>0016900002r9Eu5AAE</t>
  </si>
  <si>
    <t>Cook It Yourself  - LATAM</t>
  </si>
  <si>
    <t>0016900002neALBAA2</t>
  </si>
  <si>
    <t>Cookstudio</t>
  </si>
  <si>
    <t>522481</t>
  </si>
  <si>
    <t>KFC Maipu 1 Centro</t>
  </si>
  <si>
    <t>0016900002sWBKvAAO</t>
  </si>
  <si>
    <t>KFC Los Alerces</t>
  </si>
  <si>
    <t>Copetexpress</t>
  </si>
  <si>
    <t>0011r00002VoI0AAAV</t>
  </si>
  <si>
    <t>Coppelia</t>
  </si>
  <si>
    <t>Tarragona Mid Mall Maipu</t>
  </si>
  <si>
    <t>KFC Maipu 1 Centro --</t>
  </si>
  <si>
    <t>0016900002tfyZgAAI</t>
  </si>
  <si>
    <t>Corrales Del Sur</t>
  </si>
  <si>
    <t>0011r00002VoID9AAN</t>
  </si>
  <si>
    <t>Corte Criollo</t>
  </si>
  <si>
    <t>00169000030SXv6AAG</t>
  </si>
  <si>
    <t>Cory</t>
  </si>
  <si>
    <t>0011r00002VoITtAAN</t>
  </si>
  <si>
    <t>KFC Maipú</t>
  </si>
  <si>
    <t>435680</t>
  </si>
  <si>
    <t>Cosas Nuestras</t>
  </si>
  <si>
    <t>0016900002aEPsfAAG</t>
  </si>
  <si>
    <t>Costa Burger</t>
  </si>
  <si>
    <t>0016900002Yh3jQAAR</t>
  </si>
  <si>
    <t>Crudo Sin Censura</t>
  </si>
  <si>
    <t>0016900002f8LIkAAM</t>
  </si>
  <si>
    <t>Crunchy Rolls Sushi</t>
  </si>
  <si>
    <t>0011r00002VoIHOAA3</t>
  </si>
  <si>
    <t>Cui Hua</t>
  </si>
  <si>
    <t>0011r00002VoIQuAAN</t>
  </si>
  <si>
    <t>D'Fab</t>
  </si>
  <si>
    <t>KFC Metro Quillayes</t>
  </si>
  <si>
    <t>0016900002aDwunAAC</t>
  </si>
  <si>
    <t>D'todito gourmet</t>
  </si>
  <si>
    <t>0011r00002VoHyaAAF</t>
  </si>
  <si>
    <t>140568</t>
  </si>
  <si>
    <t>Daisuki</t>
  </si>
  <si>
    <t>KFC Iquique</t>
  </si>
  <si>
    <t>KFC Metro Quillayes --</t>
  </si>
  <si>
    <t>KFC Puente Alto</t>
  </si>
  <si>
    <t>0016900002dYyN7AAK</t>
  </si>
  <si>
    <t>Damien Mercier</t>
  </si>
  <si>
    <t>0016900002YnpGKAAZ</t>
  </si>
  <si>
    <t>Dandy Churros</t>
  </si>
  <si>
    <t>0011r00002VoIQeAAN</t>
  </si>
  <si>
    <t>Danés</t>
  </si>
  <si>
    <t>0016900002cCra4AAC</t>
  </si>
  <si>
    <t>0016900002Yocr2AAB</t>
  </si>
  <si>
    <t>De Rock &amp; Burger</t>
  </si>
  <si>
    <t>0016900002dYyFaAAK</t>
  </si>
  <si>
    <t>DeMente Games</t>
  </si>
  <si>
    <t>483549</t>
  </si>
  <si>
    <t>0016900002cCrdtAAC</t>
  </si>
  <si>
    <t>Del Beto Restaurant</t>
  </si>
  <si>
    <t>KFC Centro Buin</t>
  </si>
  <si>
    <t>0016900002ZROoDAAX</t>
  </si>
  <si>
    <t>Deleite churros</t>
  </si>
  <si>
    <t>0011r00002VoHxbAAF</t>
  </si>
  <si>
    <t>Delicia Divina</t>
  </si>
  <si>
    <t>0016900002hmvaBAAQ</t>
  </si>
  <si>
    <t>KFC Vicuña Mackenna</t>
  </si>
  <si>
    <t>Delicias</t>
  </si>
  <si>
    <t>0016900002ZROohAAH</t>
  </si>
  <si>
    <t>Delisur</t>
  </si>
  <si>
    <t>0016900002ZSaocAAD</t>
  </si>
  <si>
    <t>Melt Pizzas</t>
  </si>
  <si>
    <t>Delivery Gourmet</t>
  </si>
  <si>
    <t>KFC Vicuña Mackenna --</t>
  </si>
  <si>
    <t>AA</t>
  </si>
  <si>
    <t>00169000030UWp0AAG</t>
  </si>
  <si>
    <t>Digitek</t>
  </si>
  <si>
    <t>Melt Pizzas - El Llano</t>
  </si>
  <si>
    <t>0016900002f9uRMAAY</t>
  </si>
  <si>
    <t>Dimeiggs</t>
  </si>
  <si>
    <t>0011r00002XcBUqAAN</t>
  </si>
  <si>
    <t>Dino's</t>
  </si>
  <si>
    <t>0011r00002VoIUhAAN</t>
  </si>
  <si>
    <t>Doc Popcorn</t>
  </si>
  <si>
    <t>0011r00002VoIGLAA3</t>
  </si>
  <si>
    <t>0016900002ncvD8AAI</t>
  </si>
  <si>
    <t>Doggis Heladeria</t>
  </si>
  <si>
    <t>0016900002dYyFuAAK</t>
  </si>
  <si>
    <t>Doha Doha</t>
  </si>
  <si>
    <t>00169000031uVMVAA2</t>
  </si>
  <si>
    <t>Domani Pizza Las Condes</t>
  </si>
  <si>
    <t>0011r00002VoHw0AAF</t>
  </si>
  <si>
    <t>Domino's Pizza</t>
  </si>
  <si>
    <t>0011r00002VoIRBAA3</t>
  </si>
  <si>
    <t>Dominó</t>
  </si>
  <si>
    <t>0016900002xQv06AAC</t>
  </si>
  <si>
    <t>KFC San Pedro De La Paz</t>
  </si>
  <si>
    <t>KFC San Pedro De La Paz --</t>
  </si>
  <si>
    <t>Don Waffle</t>
  </si>
  <si>
    <t>186506</t>
  </si>
  <si>
    <t>0016900002f9uPVAAY</t>
  </si>
  <si>
    <t>Donas B.B</t>
  </si>
  <si>
    <t>KFC Portal Ñuñoa</t>
  </si>
  <si>
    <t>0011r00002VoHmEAAV</t>
  </si>
  <si>
    <t>Doña Carne</t>
  </si>
  <si>
    <t>0011r00002VoIH1AAN</t>
  </si>
  <si>
    <t>Dr. Pet</t>
  </si>
  <si>
    <t>0016900002aDEUBAA4</t>
  </si>
  <si>
    <t>Montalbano</t>
  </si>
  <si>
    <t>Dragonbowl</t>
  </si>
  <si>
    <t>0011r00002VoIQBAA3</t>
  </si>
  <si>
    <t>Drinks To Go</t>
  </si>
  <si>
    <t>Schopdog - Temuco</t>
  </si>
  <si>
    <t>0016900002dYyFvAAK</t>
  </si>
  <si>
    <t>Dulce Barquillo</t>
  </si>
  <si>
    <t>435681</t>
  </si>
  <si>
    <t>0016900002xQv7IAAS</t>
  </si>
  <si>
    <t>KFC Guardia Vieja</t>
  </si>
  <si>
    <t>Dulce Luna</t>
  </si>
  <si>
    <t>0016900002ajsizAAA</t>
  </si>
  <si>
    <t>Dulcentorno</t>
  </si>
  <si>
    <t>0016900002f9uPaAAI</t>
  </si>
  <si>
    <t>Dulcería Frutillar</t>
  </si>
  <si>
    <t>KFC Paseo Ross</t>
  </si>
  <si>
    <t>00169000031uVM6AAM</t>
  </si>
  <si>
    <t>Dulcería Puerto Varas</t>
  </si>
  <si>
    <t>0011r00002VoHw1AAF</t>
  </si>
  <si>
    <t>Dunkin Donuts</t>
  </si>
  <si>
    <t>0011r00002VoI0BAAV</t>
  </si>
  <si>
    <t>Déjate Querer</t>
  </si>
  <si>
    <t>0011r00002Xc4NXAAZ</t>
  </si>
  <si>
    <t>KFC Paseo Ross --</t>
  </si>
  <si>
    <t>Easy Protein</t>
  </si>
  <si>
    <t>0016900002dYyNkAAK</t>
  </si>
  <si>
    <t>Easytech Store</t>
  </si>
  <si>
    <t>0011r00002VoHxSAAV</t>
  </si>
  <si>
    <t>Eco Farmacias</t>
  </si>
  <si>
    <t>0016900002cCrdhAAC</t>
  </si>
  <si>
    <t>308071</t>
  </si>
  <si>
    <t>Edomae Sushi</t>
  </si>
  <si>
    <t>0016900002aE8EiAAK</t>
  </si>
  <si>
    <t>KFC Epacio Urbano Antofagasta</t>
  </si>
  <si>
    <t>Eko Sushi</t>
  </si>
  <si>
    <t>0016900002aE8HEAA0</t>
  </si>
  <si>
    <t>El Barrio Pizzeria</t>
  </si>
  <si>
    <t>0016900002dYyJmAAK</t>
  </si>
  <si>
    <t>El Bendito</t>
  </si>
  <si>
    <t>0016900002f9pCnAAI</t>
  </si>
  <si>
    <t>El Carnicero</t>
  </si>
  <si>
    <t>0011r00002VoIL8AAN</t>
  </si>
  <si>
    <t>El Cuartel</t>
  </si>
  <si>
    <t>0016900002tfyu1AAA</t>
  </si>
  <si>
    <t>El Cubanito</t>
  </si>
  <si>
    <t>0016900002dYyTTAA0</t>
  </si>
  <si>
    <t>El Gaucho</t>
  </si>
  <si>
    <t>0016900002neAJ1AAM</t>
  </si>
  <si>
    <t>El Guatón</t>
  </si>
  <si>
    <t>Royal Ranch</t>
  </si>
  <si>
    <t>0016900002dXmfPAAS</t>
  </si>
  <si>
    <t>El Honesto Mike</t>
  </si>
  <si>
    <t>0011r00002VoIE1AAN</t>
  </si>
  <si>
    <t>El Ingenio</t>
  </si>
  <si>
    <t>00169000032RkthAAC</t>
  </si>
  <si>
    <t>318540</t>
  </si>
  <si>
    <t>El Japonés</t>
  </si>
  <si>
    <t>0016900002dYyg2AAC</t>
  </si>
  <si>
    <t>KFC Arauco El Bosque</t>
  </si>
  <si>
    <t>El Kika</t>
  </si>
  <si>
    <t>0016900002aE8bhAAC</t>
  </si>
  <si>
    <t>KFC Eu Antofagasta</t>
  </si>
  <si>
    <t>El Limeño</t>
  </si>
  <si>
    <t>0016900002aE8kcAAC</t>
  </si>
  <si>
    <t>El Mechado</t>
  </si>
  <si>
    <t>0016900002dYyWRAA0</t>
  </si>
  <si>
    <t>El Mundo del Vino</t>
  </si>
  <si>
    <t>0016900002aEPYzAAO</t>
  </si>
  <si>
    <t>El Mutante Burgers</t>
  </si>
  <si>
    <t>KFC Eu Antofagasta --</t>
  </si>
  <si>
    <t>0016900002cCreRAAS</t>
  </si>
  <si>
    <t>587166</t>
  </si>
  <si>
    <t>El Padrino</t>
  </si>
  <si>
    <t>0016900002dYyiXAAS</t>
  </si>
  <si>
    <t>KFC Metro Pudahuel</t>
  </si>
  <si>
    <t>El Panzón</t>
  </si>
  <si>
    <t>0016900002f8vkNAAQ</t>
  </si>
  <si>
    <t>El Pollo Caballo</t>
  </si>
  <si>
    <t>0016900002c5ApxAAE</t>
  </si>
  <si>
    <t>El Rey del Churrascón</t>
  </si>
  <si>
    <t>0011r00002VoHztAAF</t>
  </si>
  <si>
    <t>Castaño - Estación Central</t>
  </si>
  <si>
    <t>El Sanguchón Peruano</t>
  </si>
  <si>
    <t>00169000030UQutAAG</t>
  </si>
  <si>
    <t>El Señor De Los Completos</t>
  </si>
  <si>
    <t>0011r00002VoHwoAAF</t>
  </si>
  <si>
    <t>El Templo del Smash</t>
  </si>
  <si>
    <t>00169000030UWpGAAW</t>
  </si>
  <si>
    <t>ElectroStore</t>
  </si>
  <si>
    <t>0016900002aE8ptAAC</t>
  </si>
  <si>
    <t>Elemental</t>
  </si>
  <si>
    <t>0016900002cCraEAAS</t>
  </si>
  <si>
    <t>Empanadas Florencia</t>
  </si>
  <si>
    <t>00169000031uVMQAA2</t>
  </si>
  <si>
    <t>Empanadas Huentelauquen</t>
  </si>
  <si>
    <t>0016900002c6Z0WAAU</t>
  </si>
  <si>
    <t>515243</t>
  </si>
  <si>
    <t>Empanadas Lico-Lico</t>
  </si>
  <si>
    <t>0016900002dYyO8AAK</t>
  </si>
  <si>
    <t>KFC Bilbao</t>
  </si>
  <si>
    <t>Emporio Agrícola</t>
  </si>
  <si>
    <t>0016900002aDy6VAAS</t>
  </si>
  <si>
    <t>Emporio la Rosa</t>
  </si>
  <si>
    <t>0016900002fa2eyAAA</t>
  </si>
  <si>
    <t>Enrique Tomas</t>
  </si>
  <si>
    <t>0011r00002VoI7WAAV</t>
  </si>
  <si>
    <t>Erbi Bar</t>
  </si>
  <si>
    <t>0016900002sWBKwAAO</t>
  </si>
  <si>
    <t>Erbi Market</t>
  </si>
  <si>
    <t>KFC Portal Francia</t>
  </si>
  <si>
    <t>00169000030UWpLAAW</t>
  </si>
  <si>
    <t>Espesales</t>
  </si>
  <si>
    <t>0016900002f9uPfAAI</t>
  </si>
  <si>
    <t>Etienne Marcel</t>
  </si>
  <si>
    <t>00169000030UQuqAAG</t>
  </si>
  <si>
    <t>Express Curicó</t>
  </si>
  <si>
    <t>0011r00002Xc4NmAAJ</t>
  </si>
  <si>
    <t>Extra Life</t>
  </si>
  <si>
    <t>KFC Portal Francia --</t>
  </si>
  <si>
    <t>0011r00002Xc4NtAAJ</t>
  </si>
  <si>
    <t>Extra Virgen</t>
  </si>
  <si>
    <t>0016900002f9uPkAAI</t>
  </si>
  <si>
    <t>Factory Nine</t>
  </si>
  <si>
    <t>166897</t>
  </si>
  <si>
    <t>0011r00002VoI6RAAV</t>
  </si>
  <si>
    <t>Fajita Express</t>
  </si>
  <si>
    <t>KFC Alto Las Condes</t>
  </si>
  <si>
    <t>0016900002c9gbrAAA</t>
  </si>
  <si>
    <t>Fanda</t>
  </si>
  <si>
    <t>Tarragona Mall Plaza Norte</t>
  </si>
  <si>
    <t>00169000030UWpQAAW</t>
  </si>
  <si>
    <t>Farmacia Alemana</t>
  </si>
  <si>
    <t>0011r00002VoIQfAAN</t>
  </si>
  <si>
    <t>Farmacia Gacema</t>
  </si>
  <si>
    <t>0011r00002VoI3FAAV</t>
  </si>
  <si>
    <t>Farmacia La Botica</t>
  </si>
  <si>
    <t>0011r00002VoIHQAA3</t>
  </si>
  <si>
    <t>Farmacia Occa</t>
  </si>
  <si>
    <t>0016900002ajxxMAAQ</t>
  </si>
  <si>
    <t>Farmacias Ahumada</t>
  </si>
  <si>
    <t>0011r00002VoI9QAAV</t>
  </si>
  <si>
    <t>Farmacias Chile</t>
  </si>
  <si>
    <t>0016900002xQv7MAAS</t>
  </si>
  <si>
    <t>Farmacias Cruz Verde</t>
  </si>
  <si>
    <t>00169000030UWpgAAG</t>
  </si>
  <si>
    <t>Farmacias Farmafull</t>
  </si>
  <si>
    <t>0011r00002VoI9cAAF</t>
  </si>
  <si>
    <t>Farmacias Gama</t>
  </si>
  <si>
    <t>189409</t>
  </si>
  <si>
    <t>0016900002dYyPHAA0</t>
  </si>
  <si>
    <t>KFC Mall Arauco Quilicura</t>
  </si>
  <si>
    <t>Farmacias Higea</t>
  </si>
  <si>
    <t>0011r00002VoIHzAAN</t>
  </si>
  <si>
    <t>Farmacias Knop</t>
  </si>
  <si>
    <t>0016900002dYyPLAA0</t>
  </si>
  <si>
    <t>Farmacias Lf</t>
  </si>
  <si>
    <t>0016900002hloQeAAI</t>
  </si>
  <si>
    <t>Farmacias TodoFarma</t>
  </si>
  <si>
    <t>KFC Zofri</t>
  </si>
  <si>
    <t>0016900002dYynrAAC</t>
  </si>
  <si>
    <t>Feelgood</t>
  </si>
  <si>
    <t>0016900002dYyPSAA0</t>
  </si>
  <si>
    <t>Felinus</t>
  </si>
  <si>
    <t>0011r00002VoI8rAAF</t>
  </si>
  <si>
    <t>Felipe Didier</t>
  </si>
  <si>
    <t>0016900002fA8XXAA0</t>
  </si>
  <si>
    <t>Ferreteria Rukafe</t>
  </si>
  <si>
    <t>KFC Zofri --</t>
  </si>
  <si>
    <t>Wing It - LATAM</t>
  </si>
  <si>
    <t>0016900002m2g0MAAQ</t>
  </si>
  <si>
    <t>Ficcus</t>
  </si>
  <si>
    <t>243707</t>
  </si>
  <si>
    <t>0016900002c5ApmAAE</t>
  </si>
  <si>
    <t>Wing It! - Puerto Montt I</t>
  </si>
  <si>
    <t>KFC San Fernando</t>
  </si>
  <si>
    <t>Figosorno</t>
  </si>
  <si>
    <t>0016900002c8pasAAA</t>
  </si>
  <si>
    <t>Fishline PTM</t>
  </si>
  <si>
    <t>0011r00002Xc4PYAAZ</t>
  </si>
  <si>
    <t>Flair Nation</t>
  </si>
  <si>
    <t>0016900002xQv2gAAC</t>
  </si>
  <si>
    <t>Flapp</t>
  </si>
  <si>
    <t>0016900002dYyPkAAK</t>
  </si>
  <si>
    <t>Flor De Galgo</t>
  </si>
  <si>
    <t>0016900002dYyLyAAK</t>
  </si>
  <si>
    <t>Florearía Jacqueline</t>
  </si>
  <si>
    <t>KFC Iquique Zofri</t>
  </si>
  <si>
    <t>0016900002dYyKLAA0</t>
  </si>
  <si>
    <t>Floreria Deco Armonia Juli</t>
  </si>
  <si>
    <t>0016900002dYyPlAAK</t>
  </si>
  <si>
    <t>Floreria Green Garden</t>
  </si>
  <si>
    <t>0011r00002VoIDnAAN</t>
  </si>
  <si>
    <t>Foodlosofy</t>
  </si>
  <si>
    <t>0011r00002VoIO8AAN</t>
  </si>
  <si>
    <t>38753</t>
  </si>
  <si>
    <t>Fork</t>
  </si>
  <si>
    <t>0016900002tfyu2AAA</t>
  </si>
  <si>
    <t>Fortunata</t>
  </si>
  <si>
    <t>0016900002c9gbbAAA</t>
  </si>
  <si>
    <t>Franks</t>
  </si>
  <si>
    <t>0016900002m2I2HAAU</t>
  </si>
  <si>
    <t>Franui</t>
  </si>
  <si>
    <t>0011r00002VoIFeAAN</t>
  </si>
  <si>
    <t>Freddo</t>
  </si>
  <si>
    <t>00169000030U49qAAC</t>
  </si>
  <si>
    <t>Frest</t>
  </si>
  <si>
    <t>0011r00002VoI0NAAV</t>
  </si>
  <si>
    <t>Fries &amp; Bites</t>
  </si>
  <si>
    <t>0016900002f8voBAAQ</t>
  </si>
  <si>
    <t>Frimasa</t>
  </si>
  <si>
    <t>00169000030UWpoAAG</t>
  </si>
  <si>
    <t>Friosur</t>
  </si>
  <si>
    <t>0016900002ceTVtAAM</t>
  </si>
  <si>
    <t>Frutos</t>
  </si>
  <si>
    <t>00169000031uVMfAAM</t>
  </si>
  <si>
    <t>Fuente Alemana</t>
  </si>
  <si>
    <t>Club Del Poke- Ciudad Satelite</t>
  </si>
  <si>
    <t>0016900002cCrddAAC</t>
  </si>
  <si>
    <t>435687</t>
  </si>
  <si>
    <t>Fuente Chaday</t>
  </si>
  <si>
    <t>KFC Angamos --</t>
  </si>
  <si>
    <t>0011r00002XelMKAAZ</t>
  </si>
  <si>
    <t>KFC San Felipe</t>
  </si>
  <si>
    <t>Fuente Chilena</t>
  </si>
  <si>
    <t>0011r00002VoIKWAA3</t>
  </si>
  <si>
    <t>Fuente Mardoqueo</t>
  </si>
  <si>
    <t>0011r00002VoIMvAAN</t>
  </si>
  <si>
    <t>Fuente Nicanor</t>
  </si>
  <si>
    <t>0016900002fa2d2AAA</t>
  </si>
  <si>
    <t>Fuente Suiza</t>
  </si>
  <si>
    <t>0011r00002VoIJRAA3</t>
  </si>
  <si>
    <t>Fukai</t>
  </si>
  <si>
    <t>0016900002ZROn5AAH</t>
  </si>
  <si>
    <t>Fuku Mochi</t>
  </si>
  <si>
    <t>00169000030UWpvAAG</t>
  </si>
  <si>
    <t>Fullerton</t>
  </si>
  <si>
    <t>0016900002dYyQ5AAK</t>
  </si>
  <si>
    <t>Fume</t>
  </si>
  <si>
    <t>00169000030UWpwAAG</t>
  </si>
  <si>
    <t>G Pet</t>
  </si>
  <si>
    <t>0016900002YhS3yAAF</t>
  </si>
  <si>
    <t>GRDS</t>
  </si>
  <si>
    <t>0016900002f9uPpAAI</t>
  </si>
  <si>
    <t>225789</t>
  </si>
  <si>
    <t>Galletería de Laura R</t>
  </si>
  <si>
    <t>0016900002uRUeaAAG</t>
  </si>
  <si>
    <t>KFC Plaza Puente Alto</t>
  </si>
  <si>
    <t>Gasco</t>
  </si>
  <si>
    <t>0016900002dYyT4AAK</t>
  </si>
  <si>
    <t>Get It</t>
  </si>
  <si>
    <t>0016900002cCreSAAS</t>
  </si>
  <si>
    <t>Get The Wok</t>
  </si>
  <si>
    <t>0016900002dYyLxAAK</t>
  </si>
  <si>
    <t>Go Acai</t>
  </si>
  <si>
    <t>00169000030UQv1AAG</t>
  </si>
  <si>
    <t>Golden Sushi</t>
  </si>
  <si>
    <t>McDonald's</t>
  </si>
  <si>
    <t>0016900002ccnYpAAI</t>
  </si>
  <si>
    <t>Gorilas</t>
  </si>
  <si>
    <t>0011r00002Xc4PnAAJ</t>
  </si>
  <si>
    <t>Grana</t>
  </si>
  <si>
    <t>KFC Strip Lo Campino</t>
  </si>
  <si>
    <t>McDonald's República Postres</t>
  </si>
  <si>
    <t>0011r00002VoHxDAAV</t>
  </si>
  <si>
    <t>Green Eat</t>
  </si>
  <si>
    <t>EPT 8w ago</t>
  </si>
  <si>
    <t>0016900002dYdSxAAK</t>
  </si>
  <si>
    <t>Greenlab</t>
  </si>
  <si>
    <t>133550</t>
  </si>
  <si>
    <t>0011r00002VoHwDAAV</t>
  </si>
  <si>
    <t>Grido</t>
  </si>
  <si>
    <t>KFC Intermodal</t>
  </si>
  <si>
    <t>0016900002sWBKxAAO</t>
  </si>
  <si>
    <t>Groovy Drinks</t>
  </si>
  <si>
    <t>KFC Strip Lo Campino --</t>
  </si>
  <si>
    <t>0016900002hRc5WAAS</t>
  </si>
  <si>
    <t>Grupo Civitano</t>
  </si>
  <si>
    <t>0016900002d5tkUAAQ</t>
  </si>
  <si>
    <t>Guacamole</t>
  </si>
  <si>
    <t>0016900002dYxx4AAC</t>
  </si>
  <si>
    <t>Guacamole Tex Mex</t>
  </si>
  <si>
    <t>0016900002f7frhAAA</t>
  </si>
  <si>
    <t>Gusto</t>
  </si>
  <si>
    <t>0011r00002WeIaGAAV</t>
  </si>
  <si>
    <t>Gusto - LATAM</t>
  </si>
  <si>
    <t>00169000030UQuyAAG</t>
  </si>
  <si>
    <t>HQ Ookini sushi</t>
  </si>
  <si>
    <t>0016900002yo0nTAAQ</t>
  </si>
  <si>
    <t>Habibi</t>
  </si>
  <si>
    <t>0016900002dYy3fAAC</t>
  </si>
  <si>
    <t>272684</t>
  </si>
  <si>
    <t>Hamburguesas del Yisus</t>
  </si>
  <si>
    <t>0016900002dYyLnAAK</t>
  </si>
  <si>
    <t>KFC Pedro Fontova</t>
  </si>
  <si>
    <t>Happy Box Pizza</t>
  </si>
  <si>
    <t>0016900002m2g0NAAQ</t>
  </si>
  <si>
    <t>Happy Candy</t>
  </si>
  <si>
    <t>00169000031vebwAAA</t>
  </si>
  <si>
    <t>Happy Days</t>
  </si>
  <si>
    <t>KFC Concepcion Centro</t>
  </si>
  <si>
    <t>0016900002dYy5hAAC</t>
  </si>
  <si>
    <t>Happy Days Waffles</t>
  </si>
  <si>
    <t>0016900002dYy82AAC</t>
  </si>
  <si>
    <t>Doggis Mall Plaza La Serena</t>
  </si>
  <si>
    <t>KFC Concepcion Centro --</t>
  </si>
  <si>
    <t>Happy Gelato</t>
  </si>
  <si>
    <t>0016900002dYyQPAA0</t>
  </si>
  <si>
    <t>Happy Mascota</t>
  </si>
  <si>
    <t>0016900002dYy99AAC</t>
  </si>
  <si>
    <t>Happy Milkshake</t>
  </si>
  <si>
    <t>161830</t>
  </si>
  <si>
    <t>0011r00002VoHwNAAV</t>
  </si>
  <si>
    <t>KFC San Bernardo</t>
  </si>
  <si>
    <t>Havanna</t>
  </si>
  <si>
    <t>KFC Mall Del Centro Concepción</t>
  </si>
  <si>
    <t>0011r00002VoI3JAAV</t>
  </si>
  <si>
    <t>Heisenburger</t>
  </si>
  <si>
    <t>0016900002dYymvAAC</t>
  </si>
  <si>
    <t>Heladerías Lärrs</t>
  </si>
  <si>
    <t>0016900002cCrZzAAK</t>
  </si>
  <si>
    <t>Helados Pinguino</t>
  </si>
  <si>
    <t>0016900002Z6LVtAAN</t>
  </si>
  <si>
    <t>Hey Foodie</t>
  </si>
  <si>
    <t>0016900002neAKEAA2</t>
  </si>
  <si>
    <t>Hikari</t>
  </si>
  <si>
    <t>0016900002dYy9AAAS</t>
  </si>
  <si>
    <t>Himitsu Rolls</t>
  </si>
  <si>
    <t>KFC General Velazquez</t>
  </si>
  <si>
    <t>0016900002dYy9sAAC</t>
  </si>
  <si>
    <t>569044</t>
  </si>
  <si>
    <t>Holy Bread</t>
  </si>
  <si>
    <t>0016900002m29Q7AAI</t>
  </si>
  <si>
    <t>KFC Patio Copiapo</t>
  </si>
  <si>
    <t>Holy Chicken</t>
  </si>
  <si>
    <t>KFC General Velazquez --</t>
  </si>
  <si>
    <t>0016900002aCVt6AAG</t>
  </si>
  <si>
    <t>Holy Cow</t>
  </si>
  <si>
    <t>0016900002f8vkrAAA</t>
  </si>
  <si>
    <t>Wendy's</t>
  </si>
  <si>
    <t>Holy Moly</t>
  </si>
  <si>
    <t>0011r00002XcD9nAAF</t>
  </si>
  <si>
    <t>Hospital Regional de Talca</t>
  </si>
  <si>
    <t>0011r00002VoI38AAF</t>
  </si>
  <si>
    <t>Wendy's Arauco Estacion</t>
  </si>
  <si>
    <t>Huerto Sur</t>
  </si>
  <si>
    <t>KFC General Velásquez</t>
  </si>
  <si>
    <t>0016900002dYyQZAA0</t>
  </si>
  <si>
    <t>Huma Espacios Verdes</t>
  </si>
  <si>
    <t>0011r00002VoILSAA3</t>
  </si>
  <si>
    <t>Il Forno</t>
  </si>
  <si>
    <t>0011r00002VoIHZAA3</t>
  </si>
  <si>
    <t>Il Mascarpone</t>
  </si>
  <si>
    <t>42452</t>
  </si>
  <si>
    <t>0011r00002VoIBUAA3</t>
  </si>
  <si>
    <t>Iluma</t>
  </si>
  <si>
    <t>0016900002dYyAmAAK</t>
  </si>
  <si>
    <t>Imperio Sushi</t>
  </si>
  <si>
    <t>0016900002dYyFgAAK</t>
  </si>
  <si>
    <t>Infanti</t>
  </si>
  <si>
    <t>0011r00002VoHwfAAF</t>
  </si>
  <si>
    <t>Inside Tea Connection</t>
  </si>
  <si>
    <t>0016900002cCisuAAC</t>
  </si>
  <si>
    <t>KFC Paseo Quilpue</t>
  </si>
  <si>
    <t>Isadora</t>
  </si>
  <si>
    <t>0016900002hRcKNAA0</t>
  </si>
  <si>
    <t>It's Just Wings</t>
  </si>
  <si>
    <t>0011r00002VoIDTAA3</t>
  </si>
  <si>
    <t>KFC Paseo Quilpue --</t>
  </si>
  <si>
    <t>0016900002dYyAnAAK</t>
  </si>
  <si>
    <t>580419</t>
  </si>
  <si>
    <t>Izi sushi</t>
  </si>
  <si>
    <t>KFC Santa Amalia</t>
  </si>
  <si>
    <t>00169000033JHR9AAO</t>
  </si>
  <si>
    <t>Jalisco</t>
  </si>
  <si>
    <t>0016900002dYyjQAAS</t>
  </si>
  <si>
    <t>Japi Jane</t>
  </si>
  <si>
    <t>Speed Food Sushi 3</t>
  </si>
  <si>
    <t>0016900002dYye7AAC</t>
  </si>
  <si>
    <t>Japon Delivery</t>
  </si>
  <si>
    <t>0016900002dYoriAAC</t>
  </si>
  <si>
    <t>Jasima Botilleria</t>
  </si>
  <si>
    <t>0016900002dYyAoAAK</t>
  </si>
  <si>
    <t>Jhonny Pollos</t>
  </si>
  <si>
    <t>153603</t>
  </si>
  <si>
    <t>0011r00002VoICkAAN</t>
  </si>
  <si>
    <t>KFC Apumanque</t>
  </si>
  <si>
    <t>Jhot Pizza</t>
  </si>
  <si>
    <t>0016900002dYyBAAA0</t>
  </si>
  <si>
    <t>Jirén Sushi</t>
  </si>
  <si>
    <t>0016900002dYigSAAS</t>
  </si>
  <si>
    <t>Jo Pastelería</t>
  </si>
  <si>
    <t>0011r00002VoI6xAAF</t>
  </si>
  <si>
    <t>Johao Sushi</t>
  </si>
  <si>
    <t>0011r00002VoHwPAAV</t>
  </si>
  <si>
    <t>KFC Iquique --</t>
  </si>
  <si>
    <t>Johnny Rockets</t>
  </si>
  <si>
    <t>0016900002dYornAAC</t>
  </si>
  <si>
    <t>Jr Liquorstore</t>
  </si>
  <si>
    <t>569061</t>
  </si>
  <si>
    <t>0011r00002VoI4MAAV</t>
  </si>
  <si>
    <t>KFC Ejército</t>
  </si>
  <si>
    <t>0016900002fa2dOAAQ</t>
  </si>
  <si>
    <t>Barrio Chicken Portal Temuco</t>
  </si>
  <si>
    <t>Juan Valdez</t>
  </si>
  <si>
    <t>0016900002dYyBUAA0</t>
  </si>
  <si>
    <t>Juan y Medio</t>
  </si>
  <si>
    <t>0016900002f8vkhAAA</t>
  </si>
  <si>
    <t>Juana La Loca Sanguchería</t>
  </si>
  <si>
    <t>0016900002fa2dPAAQ</t>
  </si>
  <si>
    <t>Juicy Lucy</t>
  </si>
  <si>
    <t>135152</t>
  </si>
  <si>
    <t>0011r00002VoIRdAAN</t>
  </si>
  <si>
    <t>Jumbo Market</t>
  </si>
  <si>
    <t>0016900002Z72QnAAJ</t>
  </si>
  <si>
    <t>Just Burger</t>
  </si>
  <si>
    <t>0016900002dYyqlAAC</t>
  </si>
  <si>
    <t>KAHUI Pets Store</t>
  </si>
  <si>
    <t>KFC Merced</t>
  </si>
  <si>
    <t>0011r00002VoHw2AAF</t>
  </si>
  <si>
    <t>0016900002cCrhKAAS</t>
  </si>
  <si>
    <t>Kabe Sushi</t>
  </si>
  <si>
    <t>KFC Merced --</t>
  </si>
  <si>
    <t>0016900002fa2exAAA</t>
  </si>
  <si>
    <t>38755</t>
  </si>
  <si>
    <t>Kairos Beer Garden</t>
  </si>
  <si>
    <t>KFC Peñalolén</t>
  </si>
  <si>
    <t>0011r00002VoI2QAAV</t>
  </si>
  <si>
    <t>Tarragona Líder Velásquez</t>
  </si>
  <si>
    <t>0016900002dYyBVAA0</t>
  </si>
  <si>
    <t>Kami Sushi</t>
  </si>
  <si>
    <t>0016900002dYyBYAA0</t>
  </si>
  <si>
    <t>Kansui Ramen</t>
  </si>
  <si>
    <t>0016900002ZROnPAAX</t>
  </si>
  <si>
    <t>Kao Thai</t>
  </si>
  <si>
    <t>0011r00002VoIQrAAN</t>
  </si>
  <si>
    <t>KaraKum</t>
  </si>
  <si>
    <t>0011r00002Xc4RFAAZ</t>
  </si>
  <si>
    <t>Karmas</t>
  </si>
  <si>
    <t>00169000030UQuuAAG</t>
  </si>
  <si>
    <t>Katsumi Sushi</t>
  </si>
  <si>
    <t>0011r00002VoHxGAAV</t>
  </si>
  <si>
    <t>Kento Sushi</t>
  </si>
  <si>
    <t>127579</t>
  </si>
  <si>
    <t>00169000030UQv2AAG</t>
  </si>
  <si>
    <t>Kinai Sushi</t>
  </si>
  <si>
    <t>KFC Av Alemania</t>
  </si>
  <si>
    <t>0016900002m2g0LAAQ</t>
  </si>
  <si>
    <t>Kiosclub</t>
  </si>
  <si>
    <t>0016900002dYyBaAAK</t>
  </si>
  <si>
    <t>Kioshi</t>
  </si>
  <si>
    <t>KFC Av Alemania --</t>
  </si>
  <si>
    <t>0016900002f9uPuAAI</t>
  </si>
  <si>
    <t>Klaus</t>
  </si>
  <si>
    <t>00169000030UWqAAAW</t>
  </si>
  <si>
    <t>Ko Chile</t>
  </si>
  <si>
    <t>001bO0000022CyTQAU</t>
  </si>
  <si>
    <t>Koala Sushi</t>
  </si>
  <si>
    <t>0016900002dYyBZAA0</t>
  </si>
  <si>
    <t>Kobo Sushi</t>
  </si>
  <si>
    <t>0016900002dYyD7AAK</t>
  </si>
  <si>
    <t>Koma</t>
  </si>
  <si>
    <t>0016900002dYyBjAAK</t>
  </si>
  <si>
    <t>Koshi</t>
  </si>
  <si>
    <t>00169000031uVLmAAM</t>
  </si>
  <si>
    <t>Koychi</t>
  </si>
  <si>
    <t>550738</t>
  </si>
  <si>
    <t>Subway Colón</t>
  </si>
  <si>
    <t>0011r00002VoIReAAN</t>
  </si>
  <si>
    <t>Krispy Kreme</t>
  </si>
  <si>
    <t>KFC Kennedy Rancagua</t>
  </si>
  <si>
    <t>0016900002cCreQAAS</t>
  </si>
  <si>
    <t>L'Italiano</t>
  </si>
  <si>
    <t>00169000034bJuAAAU</t>
  </si>
  <si>
    <t>L'Occitane</t>
  </si>
  <si>
    <t>0016900002wkyaUAAQ</t>
  </si>
  <si>
    <t>LEGO</t>
  </si>
  <si>
    <t>0016900002hT6JbAAK</t>
  </si>
  <si>
    <t>LICORES TALCA</t>
  </si>
  <si>
    <t>0016900002tfyu3AAA</t>
  </si>
  <si>
    <t>La Barquillería</t>
  </si>
  <si>
    <t>0016900002f8LJ4AAM</t>
  </si>
  <si>
    <t>La Barra Peruana</t>
  </si>
  <si>
    <t>0016900002m30BLAAY</t>
  </si>
  <si>
    <t>La Burguesía</t>
  </si>
  <si>
    <t>0016900002dYyQnAAK</t>
  </si>
  <si>
    <t>La Capilla</t>
  </si>
  <si>
    <t>0016900002p5fQ2AAI</t>
  </si>
  <si>
    <t>La Carnicería</t>
  </si>
  <si>
    <t>00169000031sNNEAA2</t>
  </si>
  <si>
    <t>377228</t>
  </si>
  <si>
    <t>La Casa De La Empanada</t>
  </si>
  <si>
    <t>KFC Calama --</t>
  </si>
  <si>
    <t>0016900002dYyBzAAK</t>
  </si>
  <si>
    <t>La Class</t>
  </si>
  <si>
    <t>0016900002dYyCDAA0</t>
  </si>
  <si>
    <t>La Cocina De Gaby</t>
  </si>
  <si>
    <t>0016900002f9uPlAAI</t>
  </si>
  <si>
    <t>La Despensa Del Sur</t>
  </si>
  <si>
    <t>0016900002f8vkmAAA</t>
  </si>
  <si>
    <t>La Ensaladería Gourmet</t>
  </si>
  <si>
    <t>0011r00002VoHz5AAF</t>
  </si>
  <si>
    <t>La Fabbrica</t>
  </si>
  <si>
    <t>0011r00002VoINUAA3</t>
  </si>
  <si>
    <t>La Factoria</t>
  </si>
  <si>
    <t>0011r00002VoI4fAAF</t>
  </si>
  <si>
    <t>La Fete</t>
  </si>
  <si>
    <t>0016900002dYyCiAAK</t>
  </si>
  <si>
    <t>La Fuente De Alí</t>
  </si>
  <si>
    <t>0016900002dYyDyAAK</t>
  </si>
  <si>
    <t>127565</t>
  </si>
  <si>
    <t>Mcdonald´s Tucapel Los Carreras Postres</t>
  </si>
  <si>
    <t>La Fuente Peruana</t>
  </si>
  <si>
    <t>0016900002f8vmiAAA</t>
  </si>
  <si>
    <t>KFC Mall Paseo Quilin</t>
  </si>
  <si>
    <t>La Fábrica - Sandwichería Artesanal</t>
  </si>
  <si>
    <t>0016900002f7fsbAAA</t>
  </si>
  <si>
    <t>La Galletería</t>
  </si>
  <si>
    <t>00169000030UWqKAAW</t>
  </si>
  <si>
    <t>La Huerta</t>
  </si>
  <si>
    <t>0016900002uS6UiAAK</t>
  </si>
  <si>
    <t>La Iberica</t>
  </si>
  <si>
    <t>KFC Temuco Bulnes</t>
  </si>
  <si>
    <t>0016900002dYyQsAAK</t>
  </si>
  <si>
    <t>La Licorera</t>
  </si>
  <si>
    <t>0011r00002VoHwhAAF</t>
  </si>
  <si>
    <t>La Mechada Nacional</t>
  </si>
  <si>
    <t>0016900002fa2deAAA</t>
  </si>
  <si>
    <t>La Nacional</t>
  </si>
  <si>
    <t>KFC Temuco Bulnes --</t>
  </si>
  <si>
    <t>0016900002fA8XrAAK</t>
  </si>
  <si>
    <t>La Papelaria</t>
  </si>
  <si>
    <t>0011r00002VoIUFAA3</t>
  </si>
  <si>
    <t>La Perla</t>
  </si>
  <si>
    <t>0016900002m29Q8AAI</t>
  </si>
  <si>
    <t>La Perla del Pacifico</t>
  </si>
  <si>
    <t>161876</t>
  </si>
  <si>
    <t>0016900002c5ApwAAE</t>
  </si>
  <si>
    <t>La Pesca de los Mekis</t>
  </si>
  <si>
    <t>KFC Copiapó</t>
  </si>
  <si>
    <t>0016900002hloNnAAI</t>
  </si>
  <si>
    <t>La Piazza</t>
  </si>
  <si>
    <t>00169000031uVLcAAM</t>
  </si>
  <si>
    <t>La Piccola Italia</t>
  </si>
  <si>
    <t>00169000031uVMpAAM</t>
  </si>
  <si>
    <t>La Pinche Pizza</t>
  </si>
  <si>
    <t>0011r00002VoIEaAAN</t>
  </si>
  <si>
    <t>La Pizza Nostra</t>
  </si>
  <si>
    <t>00169000031uVIjAAM</t>
  </si>
  <si>
    <t>La Popular Pizza y Pan</t>
  </si>
  <si>
    <t>0011r00002Xc4HPAAZ</t>
  </si>
  <si>
    <t>La Porteña</t>
  </si>
  <si>
    <t>0011r00002VoITKAA3</t>
  </si>
  <si>
    <t>La Previa Liquor Store</t>
  </si>
  <si>
    <t>0011r00002VoISBAA3</t>
  </si>
  <si>
    <t>La Punta</t>
  </si>
  <si>
    <t>0016900002neALHAA2</t>
  </si>
  <si>
    <t>La Sanguchera del Barrio</t>
  </si>
  <si>
    <t>La Barra De La Serena</t>
  </si>
  <si>
    <t>0016900002hloQ3AAI</t>
  </si>
  <si>
    <t>La Sutsheria</t>
  </si>
  <si>
    <t>435694</t>
  </si>
  <si>
    <t>0016900002dYyBkAAK</t>
  </si>
  <si>
    <t>La casa de la abuela</t>
  </si>
  <si>
    <t>KFC Mid Mall</t>
  </si>
  <si>
    <t>0016900002dYyDtAAK</t>
  </si>
  <si>
    <t>La casa del poke Bowl</t>
  </si>
  <si>
    <t>0016900002neAKvAAM</t>
  </si>
  <si>
    <t>Lady Focaccia</t>
  </si>
  <si>
    <t>0011r00002VoIHaAAN</t>
  </si>
  <si>
    <t>Las Bezanilla</t>
  </si>
  <si>
    <t>0016900002dYyCqAAK</t>
  </si>
  <si>
    <t>Latin Pizza</t>
  </si>
  <si>
    <t>0011r00002VoHzXAAV</t>
  </si>
  <si>
    <t>Latorre Pizza</t>
  </si>
  <si>
    <t>0016900002dYyFwAAK</t>
  </si>
  <si>
    <t>Le Chicken</t>
  </si>
  <si>
    <t>0016900002r4wuPAAQ</t>
  </si>
  <si>
    <t>Le Coin Cafe</t>
  </si>
  <si>
    <t>KFC Metro Pudahuel --</t>
  </si>
  <si>
    <t>0011r00002VoIMFAA3</t>
  </si>
  <si>
    <t>Le Fournil</t>
  </si>
  <si>
    <t>0016900002dYyR7AAK</t>
  </si>
  <si>
    <t>Le Roi Chocolat</t>
  </si>
  <si>
    <t>464735</t>
  </si>
  <si>
    <t>0011r00002Xc5D3AAJ</t>
  </si>
  <si>
    <t>Le Vice</t>
  </si>
  <si>
    <t>0011r00002VoIJAAA3</t>
  </si>
  <si>
    <t>Le Vice Chocolat</t>
  </si>
  <si>
    <t>0011r00002VoI3XAAV</t>
  </si>
  <si>
    <t>Librería Bros</t>
  </si>
  <si>
    <t>0016900002dYyYhAAK</t>
  </si>
  <si>
    <t>Librería Contrapunto</t>
  </si>
  <si>
    <t>0016900002cCispAAC</t>
  </si>
  <si>
    <t>Librería Nacional</t>
  </si>
  <si>
    <t>0016900002dYyRMAA0</t>
  </si>
  <si>
    <t>Licoreria Hieloso</t>
  </si>
  <si>
    <t>0016900002YpKZKAA3</t>
  </si>
  <si>
    <t>Lider</t>
  </si>
  <si>
    <t>0011r00002VoISMAA3</t>
  </si>
  <si>
    <t>Lima Mia</t>
  </si>
  <si>
    <t>0016900002hloRUAAY</t>
  </si>
  <si>
    <t>Lindt Chocolates</t>
  </si>
  <si>
    <t>0016900002r4ZzAAAU</t>
  </si>
  <si>
    <t>Liquidos Chile</t>
  </si>
  <si>
    <t>0011r00002VoHw3AAF</t>
  </si>
  <si>
    <t>491673</t>
  </si>
  <si>
    <t>Little Caesar's</t>
  </si>
  <si>
    <t>0011r00002VoI02AAF</t>
  </si>
  <si>
    <t>KFC Calle Rancagua</t>
  </si>
  <si>
    <t>Lo Saldes</t>
  </si>
  <si>
    <t>0016900002c5AppAAE</t>
  </si>
  <si>
    <t>Loake</t>
  </si>
  <si>
    <t>00169000031uVMLAA2</t>
  </si>
  <si>
    <t>Local Burger</t>
  </si>
  <si>
    <t>0016900002ilI5dAAE</t>
  </si>
  <si>
    <t>0016900002ZV5lkAAD</t>
  </si>
  <si>
    <t>Elemental - La Pintana</t>
  </si>
  <si>
    <t>Lomitón</t>
  </si>
  <si>
    <t>0011r00002VoIVIAA3</t>
  </si>
  <si>
    <t>Lomitón CL</t>
  </si>
  <si>
    <t>0016900002dYyCvAAK</t>
  </si>
  <si>
    <t>Lomo de la fuente</t>
  </si>
  <si>
    <t>0011r00002VoIGSAA3</t>
  </si>
  <si>
    <t>Long Cheung</t>
  </si>
  <si>
    <t>0016900002dYyE3AAK</t>
  </si>
  <si>
    <t>KFC Curicó --</t>
  </si>
  <si>
    <t>Lonkai</t>
  </si>
  <si>
    <t>0016900002dYyRgAAK</t>
  </si>
  <si>
    <t>580144</t>
  </si>
  <si>
    <t>Los Alpes</t>
  </si>
  <si>
    <t>0016900002dYyE5AAK</t>
  </si>
  <si>
    <t>Los Buenos Muchachos</t>
  </si>
  <si>
    <t>0016900002f9pCsAAI</t>
  </si>
  <si>
    <t>Los Gonzalez</t>
  </si>
  <si>
    <t>0016900002f9pCxAAI</t>
  </si>
  <si>
    <t>Los Viñedos Minimarket</t>
  </si>
  <si>
    <t>0016900002cCisfAAC</t>
  </si>
  <si>
    <t>Lounge</t>
  </si>
  <si>
    <t>0016900002ZvgAKAAZ</t>
  </si>
  <si>
    <t>Lovdo</t>
  </si>
  <si>
    <t>0016900002dYyGxAAK</t>
  </si>
  <si>
    <t>MAS QUE EMPANADA</t>
  </si>
  <si>
    <t>0016900002dYyD6AAK</t>
  </si>
  <si>
    <t>MEZZEATS</t>
  </si>
  <si>
    <t>0016900002Z7BGrAAN</t>
  </si>
  <si>
    <t>MIT Burger</t>
  </si>
  <si>
    <t>0016900002p6RTeAAM</t>
  </si>
  <si>
    <t>MOULIE</t>
  </si>
  <si>
    <t>0016900002dYyDFAA0</t>
  </si>
  <si>
    <t>MR SLICE PIZZA</t>
  </si>
  <si>
    <t>0011r00002XcEVUAA3</t>
  </si>
  <si>
    <t>MTEK</t>
  </si>
  <si>
    <t>396340</t>
  </si>
  <si>
    <t>KFC - Montemar</t>
  </si>
  <si>
    <t>Subway Apoquindo</t>
  </si>
  <si>
    <t>KFC Conchali</t>
  </si>
  <si>
    <t>00169000031uPkNAAU</t>
  </si>
  <si>
    <t>Mad Burger</t>
  </si>
  <si>
    <t>KFC Conchali --</t>
  </si>
  <si>
    <t>0016900002neAM8AAM</t>
  </si>
  <si>
    <t>Madison</t>
  </si>
  <si>
    <t>001bO000006UDlzQAG</t>
  </si>
  <si>
    <t>Maicao</t>
  </si>
  <si>
    <t>00169000030UWqYAAW</t>
  </si>
  <si>
    <t>Majen</t>
  </si>
  <si>
    <t>0016900002f8vmOAAQ</t>
  </si>
  <si>
    <t>Mak Sándwich</t>
  </si>
  <si>
    <t>0016900002aE8FHAA0</t>
  </si>
  <si>
    <t>Maker Pizza</t>
  </si>
  <si>
    <t>201203</t>
  </si>
  <si>
    <t>0016900002dYyCwAAK</t>
  </si>
  <si>
    <t>Makniko</t>
  </si>
  <si>
    <t>0016900002cCtTUAA0</t>
  </si>
  <si>
    <t>Mamasole</t>
  </si>
  <si>
    <t>0011r00002XcEV0AAN</t>
  </si>
  <si>
    <t>Mamma Mia</t>
  </si>
  <si>
    <t>0011r00002VoIJ6AAN</t>
  </si>
  <si>
    <t>0016900002f7gPZAAY</t>
  </si>
  <si>
    <t>Mamut Market</t>
  </si>
  <si>
    <t>0016900002dYyafAAC</t>
  </si>
  <si>
    <t>Manabu</t>
  </si>
  <si>
    <t>KFC Pionero --</t>
  </si>
  <si>
    <t>0016900002yoEQzAAM</t>
  </si>
  <si>
    <t>Manantial Chile</t>
  </si>
  <si>
    <t>0016900002dYyG9AAK</t>
  </si>
  <si>
    <t>Mandala</t>
  </si>
  <si>
    <t>0016900002r6FqYAAU</t>
  </si>
  <si>
    <t>308149</t>
  </si>
  <si>
    <t>MandaleCarne</t>
  </si>
  <si>
    <t>0016900002r6FsyAAE</t>
  </si>
  <si>
    <t>MandaleFruta</t>
  </si>
  <si>
    <t>0016900002dYyEjAAK</t>
  </si>
  <si>
    <t>Mao Sushi</t>
  </si>
  <si>
    <t>0016900002dYyD0AAK</t>
  </si>
  <si>
    <t>Marbella</t>
  </si>
  <si>
    <t>0011r00002XelPOAAZ</t>
  </si>
  <si>
    <t>Margó</t>
  </si>
  <si>
    <t>KFC San Bernardo Centro</t>
  </si>
  <si>
    <t>0011r00002VoIKTAA3</t>
  </si>
  <si>
    <t>Mariberico</t>
  </si>
  <si>
    <t>0016900002dYyD1AAK</t>
  </si>
  <si>
    <t>KFC San Bernardo Centro --</t>
  </si>
  <si>
    <t>Mascarpone</t>
  </si>
  <si>
    <t>0016900002cCrdrAAC</t>
  </si>
  <si>
    <t>480293</t>
  </si>
  <si>
    <t>Master Chef</t>
  </si>
  <si>
    <t>0016900002p5fQ3AAI</t>
  </si>
  <si>
    <t>Matilda Pizza</t>
  </si>
  <si>
    <t>0016900002dYyD2AAK</t>
  </si>
  <si>
    <t>Matymechadas</t>
  </si>
  <si>
    <t>0016900002cCrdjAAC</t>
  </si>
  <si>
    <t>Mc Daniel's</t>
  </si>
  <si>
    <t>0011r00002VoHw4AAF</t>
  </si>
  <si>
    <t>00169000030UQuvAAG</t>
  </si>
  <si>
    <t>Meisushi</t>
  </si>
  <si>
    <t>0011r00002VoIOXAA3</t>
  </si>
  <si>
    <t>KFC Mall Vivo Chillan</t>
  </si>
  <si>
    <t>Melba</t>
  </si>
  <si>
    <t>Tarragona Mall Barrio Independencia</t>
  </si>
  <si>
    <t>0016900002dYyD5AAK</t>
  </si>
  <si>
    <t>449786</t>
  </si>
  <si>
    <t>KFC Mall Vivo Chillan --</t>
  </si>
  <si>
    <t>Mellow</t>
  </si>
  <si>
    <t>0011r00002VoISNAA3</t>
  </si>
  <si>
    <t>0016900002ZROp1AAH</t>
  </si>
  <si>
    <t>Meraki</t>
  </si>
  <si>
    <t>0016900002dYyFQAA0</t>
  </si>
  <si>
    <t>KFC Vivo Chillan</t>
  </si>
  <si>
    <t>Meraki Sushi</t>
  </si>
  <si>
    <t>00169000030UWqhAAG</t>
  </si>
  <si>
    <t>Mercado Natural</t>
  </si>
  <si>
    <t>0016900002f9uPzAAI</t>
  </si>
  <si>
    <t>Merendonas</t>
  </si>
  <si>
    <t>0016900002hloQPAAY</t>
  </si>
  <si>
    <t>Mesón del Marinero</t>
  </si>
  <si>
    <t>553130</t>
  </si>
  <si>
    <t>KFC Talca</t>
  </si>
  <si>
    <t>0011r00002VoIEDAA3</t>
  </si>
  <si>
    <t>KFC Strip Los Ángeles</t>
  </si>
  <si>
    <t>Mg Drink</t>
  </si>
  <si>
    <t>0016900002dYyD9AAK</t>
  </si>
  <si>
    <t>KFC Talca --</t>
  </si>
  <si>
    <t>Mi ensalada</t>
  </si>
  <si>
    <t>0016900002dYyDAAA0</t>
  </si>
  <si>
    <t>Michelle Pizzas</t>
  </si>
  <si>
    <t>00169000031uVL4AAM</t>
  </si>
  <si>
    <t>Miguelayo</t>
  </si>
  <si>
    <t>0016900002dYyDBAA0</t>
  </si>
  <si>
    <t>Mika Sushi</t>
  </si>
  <si>
    <t>0011r00002XKGmQAAX</t>
  </si>
  <si>
    <t>Mil Sabores</t>
  </si>
  <si>
    <t>Club Del Gohan - Ciudad Satelite</t>
  </si>
  <si>
    <t>0016900002neAJFAA2</t>
  </si>
  <si>
    <t>Milanesas Milanona</t>
  </si>
  <si>
    <t>491805</t>
  </si>
  <si>
    <t>0011r00002VoHyYAAV</t>
  </si>
  <si>
    <t>KFC Recova</t>
  </si>
  <si>
    <t>Milano’s Pizza</t>
  </si>
  <si>
    <t>KFC Portada</t>
  </si>
  <si>
    <t>00169000030SXuxAAG</t>
  </si>
  <si>
    <t>Milá</t>
  </si>
  <si>
    <t>0011r00002VoICPAA3</t>
  </si>
  <si>
    <t>KFC Portada --</t>
  </si>
  <si>
    <t>Minami Sushi</t>
  </si>
  <si>
    <t>0011r00002Xc5JJAAZ</t>
  </si>
  <si>
    <t>Minata</t>
  </si>
  <si>
    <t>0011r00002VoIURAA3</t>
  </si>
  <si>
    <t>Miru Sushi</t>
  </si>
  <si>
    <t>0011r00002VoIP3AAN</t>
  </si>
  <si>
    <t>KFC Mall La Portada</t>
  </si>
  <si>
    <t>Miss Arepa</t>
  </si>
  <si>
    <t>0011r00002VoIKiAAN</t>
  </si>
  <si>
    <t>Miyagi Sushi</t>
  </si>
  <si>
    <t>464915</t>
  </si>
  <si>
    <t>0011r00002VoI1AAAV</t>
  </si>
  <si>
    <t>Mogambo</t>
  </si>
  <si>
    <t>0011r00002VoIA0AAN</t>
  </si>
  <si>
    <t>Mokka Chile</t>
  </si>
  <si>
    <t>0016900002ZTfJUAA1</t>
  </si>
  <si>
    <t>KFC Patio La Florida</t>
  </si>
  <si>
    <t>00169000030UWqmAAG</t>
  </si>
  <si>
    <t>Mood Aromaterapia</t>
  </si>
  <si>
    <t>0016900002wkJIwAAM</t>
  </si>
  <si>
    <t>KFC Patio La Florida --</t>
  </si>
  <si>
    <t>Caracas Burger By El Arepazo</t>
  </si>
  <si>
    <t>Mooi</t>
  </si>
  <si>
    <t>00169000031uVLwAAM</t>
  </si>
  <si>
    <t>Mr Jack</t>
  </si>
  <si>
    <t>0016900002f8vk9AAA</t>
  </si>
  <si>
    <t>Mr Lucas</t>
  </si>
  <si>
    <t>0016900002kX6EoAAK</t>
  </si>
  <si>
    <t>Mr Pretzel</t>
  </si>
  <si>
    <t>00169000030UQupAAG</t>
  </si>
  <si>
    <t>Mr Slice</t>
  </si>
  <si>
    <t>0016900002f8vfEAAQ</t>
  </si>
  <si>
    <t>Mr Sushi</t>
  </si>
  <si>
    <t>0016900002iU2USAA0</t>
  </si>
  <si>
    <t>Mr. Drinks</t>
  </si>
  <si>
    <t>0011r00002VoIHhAAN</t>
  </si>
  <si>
    <t>Mr. Fish &amp; Chips</t>
  </si>
  <si>
    <t>001bO00000Bm7QgQAJ</t>
  </si>
  <si>
    <t>299012</t>
  </si>
  <si>
    <t>Mr. Taste - LATAM</t>
  </si>
  <si>
    <t>KFC Ovalle --</t>
  </si>
  <si>
    <t>KFC Alameda</t>
  </si>
  <si>
    <t>0016900002dYyDGAA0</t>
  </si>
  <si>
    <t>Mundo Pop Corn</t>
  </si>
  <si>
    <t>00169000030SXvAAAW</t>
  </si>
  <si>
    <t>Muu Steak</t>
  </si>
  <si>
    <t>0011r00002VoI4mAAF</t>
  </si>
  <si>
    <t>NIU</t>
  </si>
  <si>
    <t>00169000031uVLSAA2</t>
  </si>
  <si>
    <t>NORA Elemental</t>
  </si>
  <si>
    <t>0011r00002VoI9NAAV</t>
  </si>
  <si>
    <t>Subway Huelen</t>
  </si>
  <si>
    <t>NatFood</t>
  </si>
  <si>
    <t>0016900002fa2f3AAA</t>
  </si>
  <si>
    <t>Nelí</t>
  </si>
  <si>
    <t>146907</t>
  </si>
  <si>
    <t>0016900002dYySUAA0</t>
  </si>
  <si>
    <t>KFC La Calera</t>
  </si>
  <si>
    <t>Nespresso</t>
  </si>
  <si>
    <t>0011r00002VoIAfAAN</t>
  </si>
  <si>
    <t>Nikkei Sushi</t>
  </si>
  <si>
    <t>001bO0000022CyUQAU</t>
  </si>
  <si>
    <t>KFC La Calera --</t>
  </si>
  <si>
    <t>Nikko Seafood And Sushi</t>
  </si>
  <si>
    <t>0016900002cCoFLAA0</t>
  </si>
  <si>
    <t>Nipponn</t>
  </si>
  <si>
    <t>0016900002dYyDHAA0</t>
  </si>
  <si>
    <t>Noah Sushi</t>
  </si>
  <si>
    <t>0011r00002VoHwTAAV</t>
  </si>
  <si>
    <t>KFC Calera</t>
  </si>
  <si>
    <t>Noah's Green Kitchen - LATAM</t>
  </si>
  <si>
    <t>0011r00002VoIIdAAN</t>
  </si>
  <si>
    <t>Nueva Yong An</t>
  </si>
  <si>
    <t>0011r00002VoI7lAAF</t>
  </si>
  <si>
    <t>Nuevo Siglo</t>
  </si>
  <si>
    <t>0011r00002Xc5VJAAZ</t>
  </si>
  <si>
    <t>Nuva Skin</t>
  </si>
  <si>
    <t>0011r00002VoHzVAAV</t>
  </si>
  <si>
    <t>621583</t>
  </si>
  <si>
    <t>OK Market</t>
  </si>
  <si>
    <t>0016900002dYyDJAA0</t>
  </si>
  <si>
    <t>Juan Maestro Center Av Alemania</t>
  </si>
  <si>
    <t>ONCE</t>
  </si>
  <si>
    <t>0016900002fa2e8AAA</t>
  </si>
  <si>
    <t>KFC Talagante</t>
  </si>
  <si>
    <t>Oakberry</t>
  </si>
  <si>
    <t>00169000030UQusAAG</t>
  </si>
  <si>
    <t>Obvious Burgers</t>
  </si>
  <si>
    <t>0011r00002VoIE6AAN</t>
  </si>
  <si>
    <t>Ocean</t>
  </si>
  <si>
    <t>0016900002dYyDIAA0</t>
  </si>
  <si>
    <t>Ocean't Sushi</t>
  </si>
  <si>
    <t>KFC Intermodal --</t>
  </si>
  <si>
    <t>0016900002dYyFRAA0</t>
  </si>
  <si>
    <t>Oh My Pizza</t>
  </si>
  <si>
    <t>0016900002f9BABAA2</t>
  </si>
  <si>
    <t>Okinawa</t>
  </si>
  <si>
    <t>0011r00002XelH6AAJ</t>
  </si>
  <si>
    <t>Okwu</t>
  </si>
  <si>
    <t>0011r00002XcDEDAA3</t>
  </si>
  <si>
    <t>Olive</t>
  </si>
  <si>
    <t>00169000030Rq6RAAS</t>
  </si>
  <si>
    <t>Only Pets</t>
  </si>
  <si>
    <t>0016900002dYySZAA0</t>
  </si>
  <si>
    <t>Opera Botillería</t>
  </si>
  <si>
    <t>0011r00002VoIFEAA3</t>
  </si>
  <si>
    <t>Orange Pet</t>
  </si>
  <si>
    <t>0016900002aE8IzAAK</t>
  </si>
  <si>
    <t>Osake sushi</t>
  </si>
  <si>
    <t>0016900002dYybLAAS</t>
  </si>
  <si>
    <t>Ostras Bilbao</t>
  </si>
  <si>
    <t>0011r00002VoIMLAA3</t>
  </si>
  <si>
    <t>Otaku Sushi</t>
  </si>
  <si>
    <t>0016900002hloNIAAY</t>
  </si>
  <si>
    <t>Subway Los Leones</t>
  </si>
  <si>
    <t>Otto Burger</t>
  </si>
  <si>
    <t>0011r00002VoI47AAF</t>
  </si>
  <si>
    <t>Oxxo</t>
  </si>
  <si>
    <t>0011r00002VoIQPAA3</t>
  </si>
  <si>
    <t>P.F. Chang's</t>
  </si>
  <si>
    <t>0016900002dYyDLAA0</t>
  </si>
  <si>
    <t>PAPA MONO</t>
  </si>
  <si>
    <t>0016900002dYyeNAAS</t>
  </si>
  <si>
    <t>PUPPIES &amp; KITTENS</t>
  </si>
  <si>
    <t>0011r00002VoIVOAA3</t>
  </si>
  <si>
    <t>Palettas</t>
  </si>
  <si>
    <t>148499</t>
  </si>
  <si>
    <t>0016900002dYyDKAA0</t>
  </si>
  <si>
    <t>Pan Mostacho</t>
  </si>
  <si>
    <t>0016900002f9uQ4AAI</t>
  </si>
  <si>
    <t>Panadería Mi Market</t>
  </si>
  <si>
    <t>0016900002f9uQ9AAI</t>
  </si>
  <si>
    <t>Panadería Servipan</t>
  </si>
  <si>
    <t>0011r00002VoIDFAA3</t>
  </si>
  <si>
    <t>Pancho Villa</t>
  </si>
  <si>
    <t>0011r00002VoHw6AAF</t>
  </si>
  <si>
    <t>Tarragona Mall Plaza Vespucio</t>
  </si>
  <si>
    <t>Papa John's</t>
  </si>
  <si>
    <t>0016900002cCisaAAC</t>
  </si>
  <si>
    <t>Papermark</t>
  </si>
  <si>
    <t>0016900002dYyDQAA0</t>
  </si>
  <si>
    <t>KFC Recova --</t>
  </si>
  <si>
    <t>Papi Adams Comida Árabe</t>
  </si>
  <si>
    <t>0016900002f9uQEAAY</t>
  </si>
  <si>
    <t>Paradiso</t>
  </si>
  <si>
    <t>0016900002cCoFMAA0</t>
  </si>
  <si>
    <t>Pasión Peruana</t>
  </si>
  <si>
    <t>0016900002neALkAAM</t>
  </si>
  <si>
    <t>Pasteleria Turquesa</t>
  </si>
  <si>
    <t>0016900002f9uQJAAY</t>
  </si>
  <si>
    <t>Pastelería Alemana Holz</t>
  </si>
  <si>
    <t>0016900002f9uQOAAY</t>
  </si>
  <si>
    <t>Pastelería Marriet</t>
  </si>
  <si>
    <t>624812</t>
  </si>
  <si>
    <t>0011r00002VoI43AAF</t>
  </si>
  <si>
    <t>KFC Anibal Pinto</t>
  </si>
  <si>
    <t>Pastelería Natas</t>
  </si>
  <si>
    <t>0016900002f9uQTAAY</t>
  </si>
  <si>
    <t>Tarragona Líder - Plaza Maipú</t>
  </si>
  <si>
    <t>Pastelería Tentaciones</t>
  </si>
  <si>
    <t>0016900002dYyhPAAS</t>
  </si>
  <si>
    <t>Patagonia Dounuts</t>
  </si>
  <si>
    <t>0016900002dYyQoAAK</t>
  </si>
  <si>
    <t>Patitas</t>
  </si>
  <si>
    <t>0011r00002VoIWIAA3</t>
  </si>
  <si>
    <t>Paula</t>
  </si>
  <si>
    <t>0016900002dYyDRAA0</t>
  </si>
  <si>
    <t>Paula Benitez</t>
  </si>
  <si>
    <t>0016900002dYySzAAK</t>
  </si>
  <si>
    <t>Peaky Nuts</t>
  </si>
  <si>
    <t>0011r00002VoI2YAAV</t>
  </si>
  <si>
    <t>KFC Arauco El Bosque --</t>
  </si>
  <si>
    <t>PedidosYa Market</t>
  </si>
  <si>
    <t>358815</t>
  </si>
  <si>
    <t>0011r00002VoIG5AAN</t>
  </si>
  <si>
    <t>Pedro, Juan y Diego</t>
  </si>
  <si>
    <t>00169000030UWr4AAG</t>
  </si>
  <si>
    <t>Perro Loco</t>
  </si>
  <si>
    <t>0016900002dYyiGAAS</t>
  </si>
  <si>
    <t>Itacate Burritos - Ciudad Satélite</t>
  </si>
  <si>
    <t>Pet City</t>
  </si>
  <si>
    <t>0016900002cCisWAAS</t>
  </si>
  <si>
    <t>Pet Cris&amp;Becker</t>
  </si>
  <si>
    <t>0011r00002VoIVGAA3</t>
  </si>
  <si>
    <t>Pet Happy</t>
  </si>
  <si>
    <t>0016900002dYycoAAC</t>
  </si>
  <si>
    <t>Pet Perro Loco</t>
  </si>
  <si>
    <t>0016900002hloPnAAI</t>
  </si>
  <si>
    <t>Pet&amp;Go</t>
  </si>
  <si>
    <t>00169000030RlFWAA0</t>
  </si>
  <si>
    <t>PetCo</t>
  </si>
  <si>
    <t>0011r00002VoIM4AAN</t>
  </si>
  <si>
    <t>299049</t>
  </si>
  <si>
    <t>Petit Paris</t>
  </si>
  <si>
    <t>0011r00002VoI36AAF</t>
  </si>
  <si>
    <t>Petrobras</t>
  </si>
  <si>
    <t>KFC Las Vizcachaz</t>
  </si>
  <si>
    <t>00169000030UWrAAAW</t>
  </si>
  <si>
    <t>Petshop</t>
  </si>
  <si>
    <t>00169000030UWrDAAW</t>
  </si>
  <si>
    <t>Pilgrim Travel</t>
  </si>
  <si>
    <t>Tarragona - Mall Patio Rancagua</t>
  </si>
  <si>
    <t>KFC Las Vizcachaz --</t>
  </si>
  <si>
    <t>0016900002fA8XsAAK</t>
  </si>
  <si>
    <t>Pillin</t>
  </si>
  <si>
    <t>0011r00002VoIAHAA3</t>
  </si>
  <si>
    <t>Pizza Alicia</t>
  </si>
  <si>
    <t>0011r00002VoHw7AAF</t>
  </si>
  <si>
    <t>Pizza Hut</t>
  </si>
  <si>
    <t>0016900002Z8oQdAAJ</t>
  </si>
  <si>
    <t>Pizza Hut Fastcom</t>
  </si>
  <si>
    <t>0011r00002VoHyQAAV</t>
  </si>
  <si>
    <t>139557</t>
  </si>
  <si>
    <t>PizzaPizza</t>
  </si>
  <si>
    <t>KFC Metro Pajaritos</t>
  </si>
  <si>
    <t>KFC Las Vizcachas</t>
  </si>
  <si>
    <t>0016900002hS6aKAAS</t>
  </si>
  <si>
    <t>Pizzanta</t>
  </si>
  <si>
    <t>0016900002ZV5m8AAD</t>
  </si>
  <si>
    <t>Pizzería La Argentina</t>
  </si>
  <si>
    <t>0016900002f8vbkAAA</t>
  </si>
  <si>
    <t>Pizzería San José</t>
  </si>
  <si>
    <t>0011r00002VoIA6AAN</t>
  </si>
  <si>
    <t>Planta Maestra</t>
  </si>
  <si>
    <t>0016900002dYyDSAA0</t>
  </si>
  <si>
    <t>Platón</t>
  </si>
  <si>
    <t>0016900002dYyDUAA0</t>
  </si>
  <si>
    <t>Poke &amp; Go</t>
  </si>
  <si>
    <t>0011r00002VoHwUAAV</t>
  </si>
  <si>
    <t>KFC Santa Cruz</t>
  </si>
  <si>
    <t>0011r00002VoINNAA3</t>
  </si>
  <si>
    <t>Pollo Stop</t>
  </si>
  <si>
    <t>0011r00002VoHu8AAF</t>
  </si>
  <si>
    <t>477308</t>
  </si>
  <si>
    <t>KFC Santa Cruz --</t>
  </si>
  <si>
    <t>Pollo Stop Asaduria</t>
  </si>
  <si>
    <t>Papa Johns Pizza - Cuatro Poniente</t>
  </si>
  <si>
    <t>0016900002ZROqxAAH</t>
  </si>
  <si>
    <t>Pollo Taquilla</t>
  </si>
  <si>
    <t>0016900002dYyDaAAK</t>
  </si>
  <si>
    <t>Pollo rey</t>
  </si>
  <si>
    <t>0011r00002VoHw8AAF</t>
  </si>
  <si>
    <t>Popeyes</t>
  </si>
  <si>
    <t>0016900002dYyo7AAC</t>
  </si>
  <si>
    <t>Primos Smash</t>
  </si>
  <si>
    <t>0016900002cD3qDAAS</t>
  </si>
  <si>
    <t>Proburger</t>
  </si>
  <si>
    <t>0016900002dYyTXAA0</t>
  </si>
  <si>
    <t>Profesor Klocker</t>
  </si>
  <si>
    <t>0016900002dYyDbAAK</t>
  </si>
  <si>
    <t>Promo Burger</t>
  </si>
  <si>
    <t>532398</t>
  </si>
  <si>
    <t>0016900002dYyDcAAK</t>
  </si>
  <si>
    <t>Promo Pizza</t>
  </si>
  <si>
    <t>KFC La Dehesa</t>
  </si>
  <si>
    <t>0016900002dYyDeAAK</t>
  </si>
  <si>
    <t>Promo Sushi</t>
  </si>
  <si>
    <t>0011r00002VoISwAAN</t>
  </si>
  <si>
    <t>Pronto Copec</t>
  </si>
  <si>
    <t>0016900002f7uwqAAA</t>
  </si>
  <si>
    <t>KFC Buenaventura</t>
  </si>
  <si>
    <t>Pronto Italia</t>
  </si>
  <si>
    <t>0011r00002XcDQnAAN</t>
  </si>
  <si>
    <t>Puente Estudio</t>
  </si>
  <si>
    <t>0011r00002VoIENAA3</t>
  </si>
  <si>
    <t>Puerto De Palos</t>
  </si>
  <si>
    <t>Shine Sushi Iquique</t>
  </si>
  <si>
    <t>0016900002m29QCAAY</t>
  </si>
  <si>
    <t>KFC Buenaventura --</t>
  </si>
  <si>
    <t>Puerto del Alto</t>
  </si>
  <si>
    <t>0016900002f8g5ZAAQ</t>
  </si>
  <si>
    <t>Punto Copec</t>
  </si>
  <si>
    <t>0011r00002XcDdcAAF</t>
  </si>
  <si>
    <t>426889</t>
  </si>
  <si>
    <t>Puur Bottle</t>
  </si>
  <si>
    <t>0016900002dYyDjAAK</t>
  </si>
  <si>
    <t>Queen Pollo</t>
  </si>
  <si>
    <t>0016900002dYyDfAAK</t>
  </si>
  <si>
    <t>Qué Papas!</t>
  </si>
  <si>
    <t>KFC Buenaventura 122</t>
  </si>
  <si>
    <t>0016900002dYyKEAA0</t>
  </si>
  <si>
    <t>Raindoor</t>
  </si>
  <si>
    <t>0016900002dYyFTAA0</t>
  </si>
  <si>
    <t>Randy´s</t>
  </si>
  <si>
    <t>0016900002neAFHAA2</t>
  </si>
  <si>
    <t>RazasPet</t>
  </si>
  <si>
    <t>0016900002dYyeXAAS</t>
  </si>
  <si>
    <t>Relativo</t>
  </si>
  <si>
    <t>0016900002dYyDkAAK</t>
  </si>
  <si>
    <t>Repostería Riesco</t>
  </si>
  <si>
    <t>0016900002dYyDlAAK</t>
  </si>
  <si>
    <t>Aleman Experto - Pedro De Valdivia</t>
  </si>
  <si>
    <t>Resseta Diferente</t>
  </si>
  <si>
    <t>0011r00002VoITCAA3</t>
  </si>
  <si>
    <t>Restaurant Chung Hwa</t>
  </si>
  <si>
    <t>475579</t>
  </si>
  <si>
    <t>0016900002dYyDmAAK</t>
  </si>
  <si>
    <t>Restaurant Perla Oriental</t>
  </si>
  <si>
    <t>KFC Guardia Vieja --</t>
  </si>
  <si>
    <t>0016900002dYyDnAAK</t>
  </si>
  <si>
    <t>Restaurante Casa China</t>
  </si>
  <si>
    <t>0011r00002VoIR2AAN</t>
  </si>
  <si>
    <t>Restaurante Pisco Sour</t>
  </si>
  <si>
    <t>0011r00002XcsooAAB</t>
  </si>
  <si>
    <t>Revés</t>
  </si>
  <si>
    <t>0011r00002VoIJnAAN</t>
  </si>
  <si>
    <t>Rhenania</t>
  </si>
  <si>
    <t>0016900002aEPDhAAO</t>
  </si>
  <si>
    <t>Rico Pollo</t>
  </si>
  <si>
    <t>0016900002dYyDuAAK</t>
  </si>
  <si>
    <t>Rico Sushi</t>
  </si>
  <si>
    <t>0011r00002VoI5EAAV</t>
  </si>
  <si>
    <t>Rigo's Pizza</t>
  </si>
  <si>
    <t>0016900002dYyDvAAK</t>
  </si>
  <si>
    <t>131766</t>
  </si>
  <si>
    <t>Rincon del Negro</t>
  </si>
  <si>
    <t>Bufalo Beef Maipú</t>
  </si>
  <si>
    <t>0011r00002VoI6hAAF</t>
  </si>
  <si>
    <t>Rishtedar</t>
  </si>
  <si>
    <t>0011r00002VoIVHAA3</t>
  </si>
  <si>
    <t>Ritzy Mash</t>
  </si>
  <si>
    <t>0011r00002VoIASAA3</t>
  </si>
  <si>
    <t>KFC Mall Arica</t>
  </si>
  <si>
    <t>Ro-Sushi</t>
  </si>
  <si>
    <t>0016900002dYyDwAAK</t>
  </si>
  <si>
    <t>Rock n Mix Waffles</t>
  </si>
  <si>
    <t>0016900002dYyHDAA0</t>
  </si>
  <si>
    <t>Rocket burger</t>
  </si>
  <si>
    <t>0016900002dYyDzAAK</t>
  </si>
  <si>
    <t>KFC Mall Arica --</t>
  </si>
  <si>
    <t>Rocoto</t>
  </si>
  <si>
    <t>0011r00002VoI1xAAF</t>
  </si>
  <si>
    <t>Roof Burger</t>
  </si>
  <si>
    <t>0016900002dYyE0AAK</t>
  </si>
  <si>
    <t>Rosita</t>
  </si>
  <si>
    <t>547508</t>
  </si>
  <si>
    <t>0016900002cCoFQAA0</t>
  </si>
  <si>
    <t>RoyalXpress</t>
  </si>
  <si>
    <t>0011r00002VoI2MAAV</t>
  </si>
  <si>
    <t>KFC Curauma</t>
  </si>
  <si>
    <t>Ruby Tuesday</t>
  </si>
  <si>
    <t>KFC Arica</t>
  </si>
  <si>
    <t>0011r00002VoIRMAA3</t>
  </si>
  <si>
    <t>Río Austral</t>
  </si>
  <si>
    <t>0016900002fa6yfAAA</t>
  </si>
  <si>
    <t>McDonald's Macul Postres</t>
  </si>
  <si>
    <t>SFV</t>
  </si>
  <si>
    <t>0016900002dYyGuAAK</t>
  </si>
  <si>
    <t>SHOPPERIA</t>
  </si>
  <si>
    <t>0016900002dYyHKAA0</t>
  </si>
  <si>
    <t>Sabor Angelino</t>
  </si>
  <si>
    <t>0016900002dYyE8AAK</t>
  </si>
  <si>
    <t>Saboroso</t>
  </si>
  <si>
    <t>0011r00002VoHxBAAV</t>
  </si>
  <si>
    <t>Sakura</t>
  </si>
  <si>
    <t>0016900002dYyWIAA0</t>
  </si>
  <si>
    <t>Salad Box - LATAM</t>
  </si>
  <si>
    <t>0011r00002VoIGKAA3</t>
  </si>
  <si>
    <t>SalcoBrand</t>
  </si>
  <si>
    <t>KFC Mid Mall --</t>
  </si>
  <si>
    <t>0016900002bRfh8AAC</t>
  </si>
  <si>
    <t>Sally Beauty</t>
  </si>
  <si>
    <t>0011r00002VoI8kAAF</t>
  </si>
  <si>
    <t>San Camilo</t>
  </si>
  <si>
    <t>0016900002dYyEBAA0</t>
  </si>
  <si>
    <t>Sandwicheria Goni’s</t>
  </si>
  <si>
    <t>0016900002dYyECAA0</t>
  </si>
  <si>
    <t>Sandwichería Papi Nano</t>
  </si>
  <si>
    <t>532632</t>
  </si>
  <si>
    <t>0011r00002VoI0FAAV</t>
  </si>
  <si>
    <t>KFC Metro Franklin</t>
  </si>
  <si>
    <t>Sangu</t>
  </si>
  <si>
    <t>Papa Johns Pizza - Ovalle</t>
  </si>
  <si>
    <t>0016900002dYyEDAA0</t>
  </si>
  <si>
    <t>Sano Y Sabroso</t>
  </si>
  <si>
    <t>0016900002f7fz7AAA</t>
  </si>
  <si>
    <t>0016900002c5ApYAAU</t>
  </si>
  <si>
    <t>Santa Gemita</t>
  </si>
  <si>
    <t>0011r00002VoHzDAAV</t>
  </si>
  <si>
    <t>Santiago Pet Store</t>
  </si>
  <si>
    <t>0011r00002VoIQUAA3</t>
  </si>
  <si>
    <t>Santiago Wine Club</t>
  </si>
  <si>
    <t>KFC Machalí</t>
  </si>
  <si>
    <t>KFC Machalí --</t>
  </si>
  <si>
    <t>533514</t>
  </si>
  <si>
    <t>0016900002dYyJTAA0</t>
  </si>
  <si>
    <t>KFC Patio Maipu</t>
  </si>
  <si>
    <t>Sayonara Sushi</t>
  </si>
  <si>
    <t>0016900002dYyENAA0</t>
  </si>
  <si>
    <t>Sayonara sushi vip</t>
  </si>
  <si>
    <t>0011r00002VoIAYAA3</t>
  </si>
  <si>
    <t>Sbarro</t>
  </si>
  <si>
    <t>0011r00002VoIOQAA3</t>
  </si>
  <si>
    <t>Juan Maestro Paseo Quilin</t>
  </si>
  <si>
    <t>Schopdog</t>
  </si>
  <si>
    <t>0016900002dYyU6AAK</t>
  </si>
  <si>
    <t>Secretos De Amor</t>
  </si>
  <si>
    <t>0016900002f9cmBAAQ</t>
  </si>
  <si>
    <t>Seducete</t>
  </si>
  <si>
    <t>0011r00002VoIAJAA3</t>
  </si>
  <si>
    <t>Seiko Sushi</t>
  </si>
  <si>
    <t>0016900002dYyEPAA0</t>
  </si>
  <si>
    <t>Selfish</t>
  </si>
  <si>
    <t>uber mas rapido un % de las ordenes</t>
  </si>
  <si>
    <t>0016900002dYyETAA0</t>
  </si>
  <si>
    <t>Seven Pizza</t>
  </si>
  <si>
    <t>151214</t>
  </si>
  <si>
    <t>0016900002dYyEXAA0</t>
  </si>
  <si>
    <t>KFC Plaza Copiapo</t>
  </si>
  <si>
    <t>KFC Coquimbo</t>
  </si>
  <si>
    <t>Shiso</t>
  </si>
  <si>
    <t>0011r00002VoI6cAAF</t>
  </si>
  <si>
    <t>Shun</t>
  </si>
  <si>
    <t>0016900002dYyEYAA0</t>
  </si>
  <si>
    <t>KFC Plaza Copiapo --</t>
  </si>
  <si>
    <t>Simonetti</t>
  </si>
  <si>
    <t>00169000032PYVJAA4</t>
  </si>
  <si>
    <t>Sin Miedo Burgers</t>
  </si>
  <si>
    <t>Tarragona - Iquique</t>
  </si>
  <si>
    <t>00169000030UQuwAAG</t>
  </si>
  <si>
    <t>Sir Dona</t>
  </si>
  <si>
    <t>00169000033KLA3AAO</t>
  </si>
  <si>
    <t>Sokobox</t>
  </si>
  <si>
    <t>0011r00002VoI96AAF</t>
  </si>
  <si>
    <t>Soler Restaurants</t>
  </si>
  <si>
    <t>0016900002dYyEcAAK</t>
  </si>
  <si>
    <t>Solisushi</t>
  </si>
  <si>
    <t>0016900002ZV5oEAAT</t>
  </si>
  <si>
    <t>Sorry Burger</t>
  </si>
  <si>
    <t>0016900002m29Q9AAI</t>
  </si>
  <si>
    <t>Sport Café</t>
  </si>
  <si>
    <t>0016900002dYyWxAAK</t>
  </si>
  <si>
    <t>uber mas rapido</t>
  </si>
  <si>
    <t>Sportika</t>
  </si>
  <si>
    <t>0011r00002VoHw9AAF</t>
  </si>
  <si>
    <t>Starbucks</t>
  </si>
  <si>
    <t>0011r00002XcEcLAAV</t>
  </si>
  <si>
    <t>Streat</t>
  </si>
  <si>
    <t>0016900002dYyEdAAK</t>
  </si>
  <si>
    <t>McDonald´s Pedro Fontova Postres</t>
  </si>
  <si>
    <t>Street wrap</t>
  </si>
  <si>
    <t>KFC Eu Los Andes</t>
  </si>
  <si>
    <t>0016900002f9uQYAAY</t>
  </si>
  <si>
    <t>Strindberg</t>
  </si>
  <si>
    <t>0016900002dYyUSAA0</t>
  </si>
  <si>
    <t>Stuck Chocolates</t>
  </si>
  <si>
    <t>KFC Eu Los Andes --</t>
  </si>
  <si>
    <t>0011r00002VoHwAAAV</t>
  </si>
  <si>
    <t>0016900002f8vepAAA</t>
  </si>
  <si>
    <t>Sukura Sushi</t>
  </si>
  <si>
    <t>0016900002sWBKyAAO</t>
  </si>
  <si>
    <t>Sun Market</t>
  </si>
  <si>
    <t>0016900002dYyEfAAK</t>
  </si>
  <si>
    <t>Suni Sushi</t>
  </si>
  <si>
    <t>00169000030WxXvAAK</t>
  </si>
  <si>
    <t>515355</t>
  </si>
  <si>
    <t>SuperZoo</t>
  </si>
  <si>
    <t>KFC Iquique Sur Wallmart</t>
  </si>
  <si>
    <t>0011r00002VoI9qAAF</t>
  </si>
  <si>
    <t>Supermercado Diez</t>
  </si>
  <si>
    <t>0011r00002VoIK5AAN</t>
  </si>
  <si>
    <t>Supermercado El Trebol</t>
  </si>
  <si>
    <t>00169000031veVSAAY</t>
  </si>
  <si>
    <t>Pollo Stop - Temuco</t>
  </si>
  <si>
    <t>Suples</t>
  </si>
  <si>
    <t>0011r00002VoIP9AAN</t>
  </si>
  <si>
    <t>Supletech</t>
  </si>
  <si>
    <t>0011r00002VoIC8AAN</t>
  </si>
  <si>
    <t>0016900002dYyEhAAK</t>
  </si>
  <si>
    <t>Sushi Bom</t>
  </si>
  <si>
    <t>KFC Centro Buin --</t>
  </si>
  <si>
    <t>0016900002fAIK1AAO</t>
  </si>
  <si>
    <t>Sushi Go</t>
  </si>
  <si>
    <t>total</t>
  </si>
  <si>
    <t>0016900002f8veQAAQ</t>
  </si>
  <si>
    <t>Sushi Haus</t>
  </si>
  <si>
    <t>507464</t>
  </si>
  <si>
    <t>0011r00002VoIUeAAN</t>
  </si>
  <si>
    <t>Sushi Illadi</t>
  </si>
  <si>
    <t>0016900002dYyEiAAK</t>
  </si>
  <si>
    <t>Sushi J&amp;J</t>
  </si>
  <si>
    <t>0011r00002VoIEtAAN</t>
  </si>
  <si>
    <t>Sushi Kin</t>
  </si>
  <si>
    <t>0016900002dYyEkAAK</t>
  </si>
  <si>
    <t>Sushi La Portada</t>
  </si>
  <si>
    <t>0016900002dYyElAAK</t>
  </si>
  <si>
    <t>Sushi Lake</t>
  </si>
  <si>
    <t>00169000031uVKkAAM</t>
  </si>
  <si>
    <t>Sushi Lounge</t>
  </si>
  <si>
    <t>0011r00002VoHyNAAV</t>
  </si>
  <si>
    <t>McDonald´s - Iquique Sur Chicken</t>
  </si>
  <si>
    <t>Sushi Lovers</t>
  </si>
  <si>
    <t>0016900002dYyEmAAK</t>
  </si>
  <si>
    <t>356323</t>
  </si>
  <si>
    <t>Sushi Murai</t>
  </si>
  <si>
    <t>0016900002dYyo6AAC</t>
  </si>
  <si>
    <t>KFC Pto Montt Passmar</t>
  </si>
  <si>
    <t>Sushi Nico</t>
  </si>
  <si>
    <t>0016900002dYyErAAK</t>
  </si>
  <si>
    <t>Sushi Ryge</t>
  </si>
  <si>
    <t>0016900002dYyEsAAK</t>
  </si>
  <si>
    <t>KFC Pto Montt Passmar --</t>
  </si>
  <si>
    <t>Sushi Take PTM</t>
  </si>
  <si>
    <t>0016900002dYyvCAAS</t>
  </si>
  <si>
    <t>Sushi Tori</t>
  </si>
  <si>
    <t>0016900002f8LIfAAM</t>
  </si>
  <si>
    <t>Sushi and Flowers</t>
  </si>
  <si>
    <t>0011r00002VoILiAAN</t>
  </si>
  <si>
    <t>SushiPo</t>
  </si>
  <si>
    <t>0016900002dYyeAAAS</t>
  </si>
  <si>
    <t>Sushiban</t>
  </si>
  <si>
    <t>377229</t>
  </si>
  <si>
    <t>0016900002dYyEtAAK</t>
  </si>
  <si>
    <t>Sushitumare</t>
  </si>
  <si>
    <t>KFC Puerto Montt Mall Paseo Del Mar</t>
  </si>
  <si>
    <t>00169000030UWrhAAG</t>
  </si>
  <si>
    <t>Sweetea</t>
  </si>
  <si>
    <t>0011r00002VoHuMAAV</t>
  </si>
  <si>
    <t>Mcdonald's Tierras Blancas Postres</t>
  </si>
  <si>
    <t>Sweetfran</t>
  </si>
  <si>
    <t>0016900002f7uwRAAQ</t>
  </si>
  <si>
    <t>Sándwich san Martin</t>
  </si>
  <si>
    <t>0011r00002VoIL5AAN</t>
  </si>
  <si>
    <t>TGI Friday's</t>
  </si>
  <si>
    <t>0016900002dYyZGAA0</t>
  </si>
  <si>
    <t>TOKE</t>
  </si>
  <si>
    <t>0016900002f9cmGAAQ</t>
  </si>
  <si>
    <t>TOUCH</t>
  </si>
  <si>
    <t>KFC Talca Plaza Maule</t>
  </si>
  <si>
    <t>0016900002dYyFCAA0</t>
  </si>
  <si>
    <t>TPM</t>
  </si>
  <si>
    <t>0016900002dYyLAAA0</t>
  </si>
  <si>
    <t>Ta' Bueno</t>
  </si>
  <si>
    <t>KFC Talca Plaza Maule --</t>
  </si>
  <si>
    <t>0016900002uSkRNAA0</t>
  </si>
  <si>
    <t>Tabaquerias Wolff</t>
  </si>
  <si>
    <t>00169000030UWriAAG</t>
  </si>
  <si>
    <t>390609</t>
  </si>
  <si>
    <t>Tabaquería Deluxe</t>
  </si>
  <si>
    <t>0016900002dYyEuAAK</t>
  </si>
  <si>
    <t>Tachi</t>
  </si>
  <si>
    <t>0011r00002VoHwBAAV</t>
  </si>
  <si>
    <t>Taco Bell</t>
  </si>
  <si>
    <t>00169000030SUeyAAG</t>
  </si>
  <si>
    <t>KFC Plaza Maule</t>
  </si>
  <si>
    <t>Take A Wok</t>
  </si>
  <si>
    <t>0016900002dZ6NgAAK</t>
  </si>
  <si>
    <t>Tambo</t>
  </si>
  <si>
    <t>Melt Pizza - Midmall Maipú</t>
  </si>
  <si>
    <t>00169000030SXv8AAG</t>
  </si>
  <si>
    <t>Tanta</t>
  </si>
  <si>
    <t>0011r00002VoISxAAN</t>
  </si>
  <si>
    <t>0016900002dYyEvAAK</t>
  </si>
  <si>
    <t>Tasuke Sushi &amp; Vegan</t>
  </si>
  <si>
    <t>308068</t>
  </si>
  <si>
    <t>0016900002dYyEwAAK</t>
  </si>
  <si>
    <t>Tatsu Sushi</t>
  </si>
  <si>
    <t>0011r00002VoI4dAAF</t>
  </si>
  <si>
    <t>Tavelli</t>
  </si>
  <si>
    <t>0016900002dYyExAAK</t>
  </si>
  <si>
    <t>Taz Burger</t>
  </si>
  <si>
    <t>0011r00002VoHzPAAV</t>
  </si>
  <si>
    <t>Tea Connection</t>
  </si>
  <si>
    <t>KFC Kennedy Rancagua --</t>
  </si>
  <si>
    <t>0016900002dYydhAAC</t>
  </si>
  <si>
    <t>Tecniclic</t>
  </si>
  <si>
    <t>0011r00002VoHwZAAV</t>
  </si>
  <si>
    <t>Telepizza</t>
  </si>
  <si>
    <t>Melt Pizzas - Talca Las Rastras</t>
  </si>
  <si>
    <t>0011r00002VoI5TAAV</t>
  </si>
  <si>
    <t>Telepollo</t>
  </si>
  <si>
    <t>0016900002dYyEyAAK</t>
  </si>
  <si>
    <t>Tempura Rolls</t>
  </si>
  <si>
    <t>0011r00002XcEMmAAN</t>
  </si>
  <si>
    <t>Tere Gott</t>
  </si>
  <si>
    <t>335169</t>
  </si>
  <si>
    <t>0016900002dYyF2AAK</t>
  </si>
  <si>
    <t>Thai Box</t>
  </si>
  <si>
    <t>0016900002dYym7AAC</t>
  </si>
  <si>
    <t>The Body Shop Chile</t>
  </si>
  <si>
    <t>0016900002neALzAAM</t>
  </si>
  <si>
    <t>The Candle Shop</t>
  </si>
  <si>
    <t>0016900002fA8XtAAK</t>
  </si>
  <si>
    <t>The Gift Shop</t>
  </si>
  <si>
    <t>0016900002f8vWcAAI</t>
  </si>
  <si>
    <t>The Popular</t>
  </si>
  <si>
    <t>00169000031uVMBAA2</t>
  </si>
  <si>
    <t>Tigre Bravo</t>
  </si>
  <si>
    <t>0016900002f86dRAAQ</t>
  </si>
  <si>
    <t>Under Pizzas</t>
  </si>
  <si>
    <t>Tijuana</t>
  </si>
  <si>
    <t>00169000031uVM1AAM</t>
  </si>
  <si>
    <t>KFC El Mariscal --</t>
  </si>
  <si>
    <t>Tijuana Tacos</t>
  </si>
  <si>
    <t>0011r00002VoI2oAAF</t>
  </si>
  <si>
    <t>Under Pizza - San Felipe</t>
  </si>
  <si>
    <t>396521</t>
  </si>
  <si>
    <t>Time Market</t>
  </si>
  <si>
    <t>KFC Manquehue</t>
  </si>
  <si>
    <t>0011r00002VoISrAAN</t>
  </si>
  <si>
    <t>Tip Top</t>
  </si>
  <si>
    <t>0011r00002VoIW0AAN</t>
  </si>
  <si>
    <t>Tip y Tap</t>
  </si>
  <si>
    <t>0016900002ZV5n1AAD</t>
  </si>
  <si>
    <t>Tiramisú</t>
  </si>
  <si>
    <t>0016900002dYorsAAC</t>
  </si>
  <si>
    <t>Todo Licor</t>
  </si>
  <si>
    <t>0016900002dYyVJAA0</t>
  </si>
  <si>
    <t>Todo Likores</t>
  </si>
  <si>
    <t>0016900002cCisVAAS</t>
  </si>
  <si>
    <t>Todo Moda</t>
  </si>
  <si>
    <t>0016900002dYyF5AAK</t>
  </si>
  <si>
    <t>Tokio sushi Los Angeles</t>
  </si>
  <si>
    <t>38751</t>
  </si>
  <si>
    <t>0011r00002VoI6LAAV</t>
  </si>
  <si>
    <t>Tommy Beans</t>
  </si>
  <si>
    <t>0016900002dYyP3AAK</t>
  </si>
  <si>
    <t>KFC Los Angeles</t>
  </si>
  <si>
    <t>Tonny Pizzeria</t>
  </si>
  <si>
    <t>0011r00002VoIA2AAN</t>
  </si>
  <si>
    <t>Tony Roma's</t>
  </si>
  <si>
    <t>Jiren Sushi Viña</t>
  </si>
  <si>
    <t>0011r00002VoHzQAAV</t>
  </si>
  <si>
    <t>Too Much</t>
  </si>
  <si>
    <t>0016900002f8ujRAAQ</t>
  </si>
  <si>
    <t>Top Dog</t>
  </si>
  <si>
    <t>KFC Los Angeles --</t>
  </si>
  <si>
    <t>0016900002dYortAAC</t>
  </si>
  <si>
    <t>Top Drinks</t>
  </si>
  <si>
    <t>0016900002dYyFBAA0</t>
  </si>
  <si>
    <t>Torta Caluga</t>
  </si>
  <si>
    <t>0011r00002VoIBoAAN</t>
  </si>
  <si>
    <t>522486</t>
  </si>
  <si>
    <t>Tostaduría El Abasto</t>
  </si>
  <si>
    <t>KFC Strip Patio El Morro</t>
  </si>
  <si>
    <t>0011r00002VoIG6AAN</t>
  </si>
  <si>
    <t>Tostaduría Saldaña</t>
  </si>
  <si>
    <t>0016900002c5ApZAAU</t>
  </si>
  <si>
    <t>Tostaduría Talca</t>
  </si>
  <si>
    <t>0011r00002VoHxuAAF</t>
  </si>
  <si>
    <t>Tottus-PE</t>
  </si>
  <si>
    <t>0016900002m29QAAAY</t>
  </si>
  <si>
    <t>Trattoria Rita</t>
  </si>
  <si>
    <t>0011r00002XcEXSAA3</t>
  </si>
  <si>
    <t>Tribeca</t>
  </si>
  <si>
    <t>0016900002dYyVMAA0</t>
  </si>
  <si>
    <t>Tu Paso</t>
  </si>
  <si>
    <t>00169000031uVLXAA2</t>
  </si>
  <si>
    <t>Tío Tomate</t>
  </si>
  <si>
    <t>Tarragona Mall Plaza Oeste</t>
  </si>
  <si>
    <t>575450</t>
  </si>
  <si>
    <t>0016900002c5ApGAAU</t>
  </si>
  <si>
    <t>KFC Patio Peñuelas</t>
  </si>
  <si>
    <t>URCO</t>
  </si>
  <si>
    <t>0011r00002VoHwbAAF</t>
  </si>
  <si>
    <t>Uncle Fletch</t>
  </si>
  <si>
    <t>0016900002ZmgduAAB</t>
  </si>
  <si>
    <t>0011r00002VoIPxAAN</t>
  </si>
  <si>
    <t>Unimarc-CL</t>
  </si>
  <si>
    <t>KFC Strip Patio El Morro --</t>
  </si>
  <si>
    <t>0016900002neAItAAM</t>
  </si>
  <si>
    <t>Up Burger</t>
  </si>
  <si>
    <t>0011r00002VoIOCAA3</t>
  </si>
  <si>
    <t>Uragira Sushi</t>
  </si>
  <si>
    <t>0016900002neALnAAM</t>
  </si>
  <si>
    <t>Urban Pizzas</t>
  </si>
  <si>
    <t>0016900002dYyFHAA0</t>
  </si>
  <si>
    <t>Val Sandwich</t>
  </si>
  <si>
    <t>0016900002dYyFIAA0</t>
  </si>
  <si>
    <t>Vanato Sandwich &amp; Pizza</t>
  </si>
  <si>
    <t>125315</t>
  </si>
  <si>
    <t>0011r00002VoHwuAAF</t>
  </si>
  <si>
    <t>KFC Los Leones</t>
  </si>
  <si>
    <t>Vapiano</t>
  </si>
  <si>
    <t>Dunkin' Peñaflor</t>
  </si>
  <si>
    <t>0016900002f9pD7AAI</t>
  </si>
  <si>
    <t>Varsovienne</t>
  </si>
  <si>
    <t>0011r00002VoIEOAA3</t>
  </si>
  <si>
    <t>Venice Fries</t>
  </si>
  <si>
    <t>0016900002c5ApHAAU</t>
  </si>
  <si>
    <t>Verduleria Doña Amalia</t>
  </si>
  <si>
    <t>0016900002dYyVjAAK</t>
  </si>
  <si>
    <t>Verduleria La Nueva Feria</t>
  </si>
  <si>
    <t>0016900002dYyVuAAK</t>
  </si>
  <si>
    <t>Verduleria Tito Pal</t>
  </si>
  <si>
    <t>0016900002dYyVsAAK</t>
  </si>
  <si>
    <t>Verdulería Ro &amp; Ro</t>
  </si>
  <si>
    <t>0016900002dYyVtAAK</t>
  </si>
  <si>
    <t>Verdulería Salto Ángel</t>
  </si>
  <si>
    <t>514507</t>
  </si>
  <si>
    <t>0011r00002WIfg2AAD</t>
  </si>
  <si>
    <t>Versluys</t>
  </si>
  <si>
    <t>KFC San Felipe --</t>
  </si>
  <si>
    <t>00169000030UWs2AAG</t>
  </si>
  <si>
    <t>Veterinaria El Rodeo</t>
  </si>
  <si>
    <t>0016900002m2g0HAAQ</t>
  </si>
  <si>
    <t>Margó - Alto Las Condes</t>
  </si>
  <si>
    <t>Vettel Chocolates</t>
  </si>
  <si>
    <t>0016900002dYyZOAA0</t>
  </si>
  <si>
    <t>Vinos Express</t>
  </si>
  <si>
    <t>0016900002dYyjYAAS</t>
  </si>
  <si>
    <t>Vittore - LATAM</t>
  </si>
  <si>
    <t>0016900002fA1n3AAC</t>
  </si>
  <si>
    <t>Viva La Mila - LATAM</t>
  </si>
  <si>
    <t>0016900002cCg34AAC</t>
  </si>
  <si>
    <t>Vox</t>
  </si>
  <si>
    <t>0011r00002VoHwyAAF</t>
  </si>
  <si>
    <t>Völka Chokolade</t>
  </si>
  <si>
    <t>0016900002f86csAAA</t>
  </si>
  <si>
    <t>W E Y® Tacos &amp; Burritos</t>
  </si>
  <si>
    <t>0016900002dYyFMAA0</t>
  </si>
  <si>
    <t>WOMEN´S KITCHEN</t>
  </si>
  <si>
    <t>0016900002dYyouAAC</t>
  </si>
  <si>
    <t>WR4 Coffee Bar</t>
  </si>
  <si>
    <t>KFC Quilicura</t>
  </si>
  <si>
    <t>0016900002dYyFLAA0</t>
  </si>
  <si>
    <t>Papa John's Pizza - Chiguayante</t>
  </si>
  <si>
    <t>Waldo's Pizzería</t>
  </si>
  <si>
    <t>0016900002xQuznAAC</t>
  </si>
  <si>
    <t>Wayu</t>
  </si>
  <si>
    <t>0011r00002VoHwCAAV</t>
  </si>
  <si>
    <t>KFC Quilicura --</t>
  </si>
  <si>
    <t>0011r00002VoHwaAAF</t>
  </si>
  <si>
    <t>0016900002fa2g4AAA</t>
  </si>
  <si>
    <t>X Burger</t>
  </si>
  <si>
    <t>00169000030UWsAAAW</t>
  </si>
  <si>
    <t>201582</t>
  </si>
  <si>
    <t>X Move</t>
  </si>
  <si>
    <t>0011r00002VoI4gAAF</t>
  </si>
  <si>
    <t>KFC San Antonio</t>
  </si>
  <si>
    <t>XS Market</t>
  </si>
  <si>
    <t>0016900002dYyFNAA0</t>
  </si>
  <si>
    <t>Xavi's Fries</t>
  </si>
  <si>
    <t>0011r00002XcEQBAA3</t>
  </si>
  <si>
    <t>Xclusive</t>
  </si>
  <si>
    <t>00169000030UQv3AAG</t>
  </si>
  <si>
    <t>Xurros Cafe</t>
  </si>
  <si>
    <t>0016900002dYyFOAA0</t>
  </si>
  <si>
    <t>Yakuza Sushi</t>
  </si>
  <si>
    <t>0016900002dYyUVAA0</t>
  </si>
  <si>
    <t>Yapones Sushi</t>
  </si>
  <si>
    <t>0016900002dYytlAAC</t>
  </si>
  <si>
    <t>Yeppo</t>
  </si>
  <si>
    <t>Tarragona Mall Paseo Quilpué</t>
  </si>
  <si>
    <t>0016900002dYyL1AAK</t>
  </si>
  <si>
    <t>YoCelebro</t>
  </si>
  <si>
    <t>0011r00002VoIGmAAN</t>
  </si>
  <si>
    <t>290535</t>
  </si>
  <si>
    <t>Yogen Fruz</t>
  </si>
  <si>
    <t>KFC Recoleta</t>
  </si>
  <si>
    <t>0011r00002VoINAAA3</t>
  </si>
  <si>
    <t>KFC Go Talca Florida --</t>
  </si>
  <si>
    <t>Yogurtlife</t>
  </si>
  <si>
    <t>0016900002dYyQJAA0</t>
  </si>
  <si>
    <t>Yutakana</t>
  </si>
  <si>
    <t>00169000030UWsHAAW</t>
  </si>
  <si>
    <t>Zucca</t>
  </si>
  <si>
    <t>532035</t>
  </si>
  <si>
    <t>KFC Coronel</t>
  </si>
  <si>
    <t>KFC Coronel --</t>
  </si>
  <si>
    <t>526843</t>
  </si>
  <si>
    <t>Tarragona - Mall Vivo Coquimbio</t>
  </si>
  <si>
    <t>KFC Agua Santa</t>
  </si>
  <si>
    <t>KFC Quillota --</t>
  </si>
  <si>
    <t>497518</t>
  </si>
  <si>
    <t>Poked - Antofagasta Centro Sur 433</t>
  </si>
  <si>
    <t>161822</t>
  </si>
  <si>
    <t>KFC La Dehesa --</t>
  </si>
  <si>
    <t>Elemental - Terminal Collao</t>
  </si>
  <si>
    <t>585103</t>
  </si>
  <si>
    <t>KFC Lircay</t>
  </si>
  <si>
    <t>Dominó Parque Arauco</t>
  </si>
  <si>
    <t>KFC Strip Patio Quilicura --</t>
  </si>
  <si>
    <t>476399</t>
  </si>
  <si>
    <t>KFC Trébol Terrazas</t>
  </si>
  <si>
    <t>Sah-kai Sushi.</t>
  </si>
  <si>
    <t>484236</t>
  </si>
  <si>
    <t>KFC Balmaceda La Serena</t>
  </si>
  <si>
    <t>KFC Munita --</t>
  </si>
  <si>
    <t>Subway Pajaritos 1948</t>
  </si>
  <si>
    <t>459939</t>
  </si>
  <si>
    <t>KFC San Joaquin</t>
  </si>
  <si>
    <t>KFC Colina --</t>
  </si>
  <si>
    <t>38750</t>
  </si>
  <si>
    <t>Cassis Los Angeles Av. Alemania</t>
  </si>
  <si>
    <t>149308</t>
  </si>
  <si>
    <t>KFC Puerto Montt Mall Paseo Costanera</t>
  </si>
  <si>
    <t>KFC Ue Fleming</t>
  </si>
  <si>
    <t>KFC Ue Fleming --</t>
  </si>
  <si>
    <t>526862</t>
  </si>
  <si>
    <t>522437</t>
  </si>
  <si>
    <t>KFC Viña Outlet Park</t>
  </si>
  <si>
    <t>KFC San Antonio --</t>
  </si>
  <si>
    <t>Doctor Restaurant Punta Arenas</t>
  </si>
  <si>
    <t>597304</t>
  </si>
  <si>
    <t>KFC Renca</t>
  </si>
  <si>
    <t>KFC Iquique Sur Walmart</t>
  </si>
  <si>
    <t>Tarragona - Pedro De Valdivia</t>
  </si>
  <si>
    <t>KFC Iquique Sur Walmart --</t>
  </si>
  <si>
    <t>580385</t>
  </si>
  <si>
    <t>KFC Peñaflor</t>
  </si>
  <si>
    <t>Papa Johns Pizza - Talagante</t>
  </si>
  <si>
    <t>547665</t>
  </si>
  <si>
    <t>KFC Plaza Sur</t>
  </si>
  <si>
    <t>KFC Plaza Sur --</t>
  </si>
  <si>
    <t>Subway Andrés Bello  Providencia</t>
  </si>
  <si>
    <t>KFC Mall Plaza Sur</t>
  </si>
  <si>
    <t>125264</t>
  </si>
  <si>
    <t>KFC Patio Copiapo --</t>
  </si>
  <si>
    <t>474974</t>
  </si>
  <si>
    <t>Oxxo - Botillería Macul</t>
  </si>
  <si>
    <t>KFC Outlet Temuco</t>
  </si>
  <si>
    <t>Sushi Lovers 317</t>
  </si>
  <si>
    <t>435690</t>
  </si>
  <si>
    <t>KFC Melipilla Pc</t>
  </si>
  <si>
    <t>KFC Av Valparaiso</t>
  </si>
  <si>
    <t>KFC Melipilla Pc --</t>
  </si>
  <si>
    <t>271712</t>
  </si>
  <si>
    <t>Dunkin' Portal Temuco</t>
  </si>
  <si>
    <t>KFC Linares --</t>
  </si>
  <si>
    <t>Okey Sushi</t>
  </si>
  <si>
    <t>AWT0 reduction</t>
  </si>
  <si>
    <t>376854</t>
  </si>
  <si>
    <t>48655</t>
  </si>
  <si>
    <t>KFC La Cisterna</t>
  </si>
  <si>
    <t>Churromanía - Maipú</t>
  </si>
  <si>
    <t>KFC Curauma --</t>
  </si>
  <si>
    <t>593582</t>
  </si>
  <si>
    <t>KFC Principe De Gales</t>
  </si>
  <si>
    <t>KFC San Fernando --</t>
  </si>
  <si>
    <t>Churromania Santa Isabel</t>
  </si>
  <si>
    <t>131802</t>
  </si>
  <si>
    <t>591211</t>
  </si>
  <si>
    <t>KFC Alto Jahuel</t>
  </si>
  <si>
    <t>KFC Chamisero --</t>
  </si>
  <si>
    <t>Tarragona Mall Talca</t>
  </si>
  <si>
    <t>521223</t>
  </si>
  <si>
    <t>KFC Paseo Del Puerto</t>
  </si>
  <si>
    <t>KFC Paseo Del Puerto --</t>
  </si>
  <si>
    <t>587167</t>
  </si>
  <si>
    <t>Miso Nikkei</t>
  </si>
  <si>
    <t>KFC Quilin</t>
  </si>
  <si>
    <t>KFC Quilin --</t>
  </si>
  <si>
    <t>140569</t>
  </si>
  <si>
    <t>397571</t>
  </si>
  <si>
    <t>KFC Principe De Gales --</t>
  </si>
  <si>
    <t>Papa Johns Pizza - Iquique Centro</t>
  </si>
  <si>
    <t>127578</t>
  </si>
  <si>
    <t>587160</t>
  </si>
  <si>
    <t>KFC Recoleta --</t>
  </si>
  <si>
    <t>Juan Maestro Mall Arauco Maipú</t>
  </si>
  <si>
    <t>477236</t>
  </si>
  <si>
    <t>KFC Coquimbo --</t>
  </si>
  <si>
    <t>148502</t>
  </si>
  <si>
    <t>KFC Rancagua</t>
  </si>
  <si>
    <t>Subway Aramco Portal La Dehesa</t>
  </si>
  <si>
    <t>133450</t>
  </si>
  <si>
    <t>KFC Balmaceda La Serena --</t>
  </si>
  <si>
    <t>587388</t>
  </si>
  <si>
    <t>KFC Villa Alemana</t>
  </si>
  <si>
    <t>Papa Johns Pizza - Alto Hospicio</t>
  </si>
  <si>
    <t>KFC Plaza Puente Alto --</t>
  </si>
  <si>
    <t>592110</t>
  </si>
  <si>
    <t>KFC Vivo Los Toros</t>
  </si>
  <si>
    <t>KFC Alameda Uc</t>
  </si>
  <si>
    <t>186512</t>
  </si>
  <si>
    <t>McDonald's Santa Rosa Postres</t>
  </si>
  <si>
    <t>KFC Alameda Uc --</t>
  </si>
  <si>
    <t>320346</t>
  </si>
  <si>
    <t>Oxxo - Renaca 2</t>
  </si>
  <si>
    <t>KFC Metro Franklin --</t>
  </si>
  <si>
    <t>626942</t>
  </si>
  <si>
    <t>KFC Chillan Centro</t>
  </si>
  <si>
    <t>KFC Valdivia</t>
  </si>
  <si>
    <t>KFC Valdivia --</t>
  </si>
  <si>
    <t>McDonald's San Pascual Postres</t>
  </si>
  <si>
    <t>Little Caesars Pizza La Reina</t>
  </si>
  <si>
    <t>KFC Manquehue --</t>
  </si>
  <si>
    <t>Rocoto Las Condes</t>
  </si>
  <si>
    <t>KFC Pedro Fontova --</t>
  </si>
  <si>
    <t>Mcdonald's Peñaflor Postres</t>
  </si>
  <si>
    <t>KFC Villa Alemana --</t>
  </si>
  <si>
    <t>Buffalo Waffles Iquique</t>
  </si>
  <si>
    <t>Papa Johns Pizza - San Bernardo</t>
  </si>
  <si>
    <t>KFC Patio Maipu --</t>
  </si>
  <si>
    <t>Papa Johns Pizza - San Antonio</t>
  </si>
  <si>
    <t>KFC Lircay --</t>
  </si>
  <si>
    <t>Itacate - Puerto Montt I</t>
  </si>
  <si>
    <t>Doggis Strip Center Av Alemania</t>
  </si>
  <si>
    <t>KFC Lampa --</t>
  </si>
  <si>
    <t>Papa Johns Villarica</t>
  </si>
  <si>
    <t>KFC Portal Ñuñoa --</t>
  </si>
  <si>
    <t>Sdg Los Angeles</t>
  </si>
  <si>
    <t>KFC Viña Outlet Park --</t>
  </si>
  <si>
    <t>Food Center - Churrascos &amp; Sandwiches</t>
  </si>
  <si>
    <t>Little Caesars Pizza Alameda</t>
  </si>
  <si>
    <t>KFC Alto Las Condes --</t>
  </si>
  <si>
    <t>Burger King® - Parque Arauco</t>
  </si>
  <si>
    <t>KFC Alto Jahuel --</t>
  </si>
  <si>
    <t>Dunkin Mall Zofri</t>
  </si>
  <si>
    <t>KFC Patio Outlet Temuco</t>
  </si>
  <si>
    <t>KFC Patio Outlet Temuco --</t>
  </si>
  <si>
    <t>Mcdonald's Ovalle Postres</t>
  </si>
  <si>
    <t>Burger King® - Los Angeles</t>
  </si>
  <si>
    <t>KFC Montemar</t>
  </si>
  <si>
    <t>KFC Montemar --</t>
  </si>
  <si>
    <t>McDonald's La Cantera Chicken</t>
  </si>
  <si>
    <t>KFC Av Valparaiso --</t>
  </si>
  <si>
    <t>D</t>
  </si>
  <si>
    <t>Unimarc - Las Condes</t>
  </si>
  <si>
    <t>KFC Agua Santa --</t>
  </si>
  <si>
    <t>Buffalo Waffles Espacio Urbano Antofagasta</t>
  </si>
  <si>
    <t>KFC San Joaquin --</t>
  </si>
  <si>
    <t>Tommy Beans Rancagua Mall</t>
  </si>
  <si>
    <t>KFC Santa Isabel --</t>
  </si>
  <si>
    <t>Meraki Sushi Fusion</t>
  </si>
  <si>
    <t>KFC Calle Rancagua --</t>
  </si>
  <si>
    <t>Pizza Ninfa La Serena</t>
  </si>
  <si>
    <t>McDonald's General Velásquez Chicken</t>
  </si>
  <si>
    <t>Papa Johns Pizza - Concon Norte</t>
  </si>
  <si>
    <t>Dunkin' Jumbo Copiapo</t>
  </si>
  <si>
    <t>Buffet Express Costanera Center</t>
  </si>
  <si>
    <t>Big Family Burger 842</t>
  </si>
  <si>
    <t>Green Food- Los Angeles</t>
  </si>
  <si>
    <t>Tarragona Jumbo Puente Alto</t>
  </si>
  <si>
    <t>McDonald's Arica Postres</t>
  </si>
  <si>
    <t>Restaurante El Peruanazo</t>
  </si>
  <si>
    <t>Sayonara Sushi - Maipú</t>
  </si>
  <si>
    <t>Doña Carne- San Bernardo</t>
  </si>
  <si>
    <t>Tarragona San Pablo</t>
  </si>
  <si>
    <t>Doña Carne - Camilo Henriquez</t>
  </si>
  <si>
    <t>Bombo Tiki House</t>
  </si>
  <si>
    <t>Papa Johns Pizza - Puerto Montt Ibañez</t>
  </si>
  <si>
    <t>Papa Johns Arica Norte</t>
  </si>
  <si>
    <t>Mao Sushi - Lo Barnechea</t>
  </si>
  <si>
    <t>Little Caesars Pizza Pajaritos</t>
  </si>
  <si>
    <t>McDonald's Antofagasta Centro Postres</t>
  </si>
  <si>
    <t>Tarragona Arauco Quilicura</t>
  </si>
  <si>
    <t>McDonald's Antofagasta Centro Chicken</t>
  </si>
  <si>
    <t>Poked - San Pedro De La Paz 713</t>
  </si>
  <si>
    <t>Subway Froilan Roa</t>
  </si>
  <si>
    <t>Elemental - Paseo Chiloe</t>
  </si>
  <si>
    <t>Dunkin' Espacio Urbano Pioneros</t>
  </si>
  <si>
    <t>Papa John's Pizza - Villa Alemana</t>
  </si>
  <si>
    <t>Little Caesars Pizza Huinganal</t>
  </si>
  <si>
    <t>Doggis Espacio Urbano Viña Centro</t>
  </si>
  <si>
    <t>Club Del Poke - Linares</t>
  </si>
  <si>
    <t>Papa Johns Pizza - Los Notros</t>
  </si>
  <si>
    <t>Oxxo - Plaza Sotomayor</t>
  </si>
  <si>
    <t>Get It - Guardia Vieja</t>
  </si>
  <si>
    <t>Comida China Casa China Express.</t>
  </si>
  <si>
    <t>Reses Bar &amp; Brasas - Viña Del Mar</t>
  </si>
  <si>
    <t>Total Burger</t>
  </si>
  <si>
    <t>Juan Maestro Vivo Coquimbo</t>
  </si>
  <si>
    <t>Jirén Sushi Valparaíso</t>
  </si>
  <si>
    <t>Poked - Viña Centro</t>
  </si>
  <si>
    <t>Gohan Valdivia</t>
  </si>
  <si>
    <t>Papa John's Pizza - Isabel La Católica</t>
  </si>
  <si>
    <t>Melt Pizzas - El Bosque</t>
  </si>
  <si>
    <t>Sushi Blues Quillota 2</t>
  </si>
  <si>
    <t>Burger King® - San Martín</t>
  </si>
  <si>
    <t>Papa John's Pizza - Santa Isabel</t>
  </si>
  <si>
    <t>Under Pizza - Rancagua</t>
  </si>
  <si>
    <t>Doggis - Espacio Grecia Calama</t>
  </si>
  <si>
    <t>Papa John's Pizza - La Serena Oriente</t>
  </si>
  <si>
    <t>Doggis Mall Plaza Maule</t>
  </si>
  <si>
    <t>Carnitas Santiago Centro</t>
  </si>
  <si>
    <t>Schopdog Calama</t>
  </si>
  <si>
    <t>Wendy's Eu Gran Avenida</t>
  </si>
  <si>
    <t>Melt Pizzas - Portugal</t>
  </si>
  <si>
    <t>Under Pizza - Calle Valparaiso</t>
  </si>
  <si>
    <t>Papa John's Pizza - Linares</t>
  </si>
  <si>
    <t>Razaspet - Cristóbal Colón</t>
  </si>
  <si>
    <t>Papa Johns Santa Cruz</t>
  </si>
  <si>
    <t>Churromanía - Estación Central</t>
  </si>
  <si>
    <t>Aleman Experto La Reina</t>
  </si>
  <si>
    <t>Melt Pizzas - Temuco</t>
  </si>
  <si>
    <t>Papa Johns Pizza - Parque Arauco</t>
  </si>
  <si>
    <t>Dunkin' Espacio Urbano Maipú</t>
  </si>
  <si>
    <t>Wendy's - Petrobras Puente Alto</t>
  </si>
  <si>
    <t>Cioccolata Playa Brava</t>
  </si>
  <si>
    <t>Wendy's Av Los Toros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</si>
</sst>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%"/>
    <numFmt numFmtId="166" formatCode="0.0%;\-0.0%;\-"/>
  </numFmts>
  <fonts count="13">
    <font>
      <sz val="10.0"/>
      <color rgb="FF000000"/>
      <name val="Arial"/>
      <scheme val="minor"/>
    </font>
    <font>
      <b/>
      <color rgb="FF000000"/>
      <name val="Lexend"/>
    </font>
    <font>
      <color theme="1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b/>
      <color rgb="FF000000"/>
      <name val="Outfit"/>
    </font>
    <font>
      <color theme="1"/>
      <name val="Outfit"/>
    </font>
    <font>
      <b/>
      <color theme="1"/>
      <name val="Lexend"/>
    </font>
    <font>
      <b/>
      <color rgb="FFFFFFFF"/>
      <name val="Calibri"/>
    </font>
    <font>
      <color theme="1"/>
      <name val="Calibri"/>
    </font>
    <font>
      <b/>
      <color theme="1"/>
      <name val="Arial"/>
      <scheme val="minor"/>
    </font>
    <font>
      <color rgb="FFFFFFFF"/>
      <name val="Arial"/>
      <scheme val="minor"/>
    </font>
    <font>
      <b/>
      <color theme="1"/>
      <name val="Outfit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1E4777"/>
        <bgColor rgb="FF1E4777"/>
      </patternFill>
    </fill>
    <fill>
      <patternFill patternType="solid">
        <fgColor rgb="FFFCE5CD"/>
        <bgColor rgb="FFFCE5CD"/>
      </patternFill>
    </fill>
    <fill>
      <patternFill patternType="solid">
        <fgColor rgb="FF1F3864"/>
        <bgColor rgb="FF1F3864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4" fontId="4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3" fontId="6" numFmtId="49" xfId="0" applyAlignment="1" applyFill="1" applyFont="1" applyNumberFormat="1">
      <alignment horizontal="center" readingOrder="0"/>
    </xf>
    <xf quotePrefix="1" borderId="0" fillId="3" fontId="6" numFmtId="0" xfId="0" applyAlignment="1" applyFill="1" applyFont="1">
      <alignment horizontal="center" readingOrder="0"/>
    </xf>
    <xf borderId="0" fillId="2" fontId="1" numFmtId="49" xfId="0" applyAlignment="1" applyFill="1" applyFont="1" applyNumberFormat="1">
      <alignment horizontal="center" readingOrder="0"/>
    </xf>
    <xf borderId="0" fillId="5" fontId="7" numFmtId="0" xfId="0" applyAlignment="1" applyFill="1" applyFont="1">
      <alignment horizontal="center" readingOrder="0"/>
    </xf>
    <xf borderId="1" fillId="6" fontId="8" numFmtId="0" xfId="0" applyAlignment="1" applyBorder="1" applyFill="1" applyFont="1">
      <alignment horizontal="center" shrinkToFit="0" wrapText="1"/>
    </xf>
    <xf borderId="0" fillId="5" fontId="7" numFmtId="1" xfId="0" applyAlignment="1" applyFill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9" numFmtId="0" xfId="0" applyAlignment="1" applyBorder="1" applyFont="1">
      <alignment vertical="bottom"/>
    </xf>
    <xf quotePrefix="1" borderId="0" fillId="3" fontId="10" numFmtId="49" xfId="0" applyAlignment="1" applyFill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1" fillId="7" fontId="9" numFmtId="1" xfId="0" applyAlignment="1" applyBorder="1" applyFill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1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1" fillId="0" fontId="9" numFmtId="165" xfId="0" applyAlignment="1" applyBorder="1" applyFont="1" applyNumberFormat="1">
      <alignment horizontal="right" vertical="bottom"/>
    </xf>
    <xf borderId="1" fillId="0" fontId="9" numFmtId="3" xfId="0" applyAlignment="1" applyBorder="1" applyFont="1" applyNumberFormat="1">
      <alignment horizontal="right" vertical="bottom"/>
    </xf>
    <xf borderId="0" fillId="0" fontId="2" numFmtId="3" xfId="0" applyAlignment="1" applyFont="1" applyNumberFormat="1">
      <alignment horizontal="center"/>
    </xf>
    <xf borderId="0" fillId="0" fontId="2" numFmtId="1" xfId="0" applyFont="1" applyNumberFormat="1"/>
    <xf borderId="0" fillId="0" fontId="2" numFmtId="0" xfId="0" applyAlignment="1" applyFont="1">
      <alignment readingOrder="0"/>
    </xf>
    <xf borderId="1" fillId="0" fontId="9" numFmtId="166" xfId="0" applyAlignment="1" applyBorder="1" applyFont="1" applyNumberFormat="1">
      <alignment horizontal="right" vertical="bottom"/>
    </xf>
    <xf borderId="2" fillId="8" fontId="11" numFmtId="1" xfId="0" applyAlignment="1" applyBorder="1" applyFill="1" applyFont="1" applyNumberFormat="1">
      <alignment horizontal="center" readingOrder="0"/>
    </xf>
    <xf borderId="0" fillId="0" fontId="2" numFmtId="49" xfId="0" applyFont="1" applyNumberFormat="1"/>
    <xf borderId="2" fillId="9" fontId="11" numFmtId="1" xfId="0" applyAlignment="1" applyBorder="1" applyFill="1" applyFont="1" applyNumberFormat="1">
      <alignment horizontal="center" readingOrder="0"/>
    </xf>
    <xf borderId="2" fillId="0" fontId="2" numFmtId="164" xfId="0" applyAlignment="1" applyBorder="1" applyFont="1" applyNumberFormat="1">
      <alignment horizontal="center"/>
    </xf>
    <xf borderId="3" fillId="0" fontId="7" numFmtId="164" xfId="0" applyAlignment="1" applyBorder="1" applyFont="1" applyNumberFormat="1">
      <alignment horizontal="right"/>
    </xf>
    <xf borderId="4" fillId="0" fontId="2" numFmtId="0" xfId="0" applyAlignment="1" applyBorder="1" applyFont="1">
      <alignment readingOrder="0"/>
    </xf>
    <xf borderId="0" fillId="0" fontId="2" numFmtId="49" xfId="0" applyAlignment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2" numFmtId="10" xfId="0" applyFont="1" applyNumberFormat="1"/>
    <xf borderId="0" fillId="0" fontId="2" numFmtId="0" xfId="0" applyAlignment="1" applyFont="1">
      <alignment horizontal="left"/>
    </xf>
    <xf borderId="0" fillId="0" fontId="2" numFmtId="2" xfId="0" applyAlignment="1" applyFont="1" applyNumberFormat="1">
      <alignment horizontal="center" readingOrder="0"/>
    </xf>
    <xf borderId="0" fillId="7" fontId="2" numFmtId="0" xfId="0" applyFill="1" applyFont="1"/>
    <xf borderId="0" fillId="3" fontId="12" numFmtId="0" xfId="0" applyAlignment="1" applyFill="1" applyFont="1">
      <alignment horizontal="center" readingOrder="0"/>
    </xf>
    <xf quotePrefix="1" borderId="0" fillId="3" fontId="1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2438400</xdr:colOff>
      <xdr:row>2</xdr:row>
      <xdr:rowOff>104775</xdr:rowOff>
    </xdr:from>
    <xdr:ext cx="2543175" cy="1390650"/>
    <xdr:sp>
      <xdr:nvSpPr>
        <xdr:cNvPr id="3" name="Shape 3"/>
        <xdr:cNvSpPr/>
      </xdr:nvSpPr>
      <xdr:spPr>
        <a:xfrm>
          <a:off x="3002125" y="1471050"/>
          <a:ext cx="2792100" cy="1511100"/>
        </a:xfrm>
        <a:prstGeom prst="roundRect">
          <a:avLst>
            <a:gd fmla="val 16667" name="adj"/>
          </a:avLst>
        </a:prstGeom>
        <a:solidFill>
          <a:srgbClr val="0B5394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solidFill>
                <a:srgbClr val="FFFFFF"/>
              </a:solidFill>
              <a:latin typeface="Outfit"/>
              <a:ea typeface="Outfit"/>
              <a:cs typeface="Outfit"/>
              <a:sym typeface="Outfit"/>
            </a:rPr>
            <a:t>Registrar EPT modifications y vaciar tablas.</a:t>
          </a:r>
          <a:endParaRPr b="1" sz="1500">
            <a:solidFill>
              <a:srgbClr val="FFFFFF"/>
            </a:solidFill>
            <a:latin typeface="Outfit"/>
            <a:ea typeface="Outfit"/>
            <a:cs typeface="Outfit"/>
            <a:sym typeface="Outfit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1638300</xdr:colOff>
      <xdr:row>13</xdr:row>
      <xdr:rowOff>200025</xdr:rowOff>
    </xdr:from>
    <xdr:ext cx="2105025" cy="1143000"/>
    <xdr:sp>
      <xdr:nvSpPr>
        <xdr:cNvPr id="3" name="Shape 3"/>
        <xdr:cNvSpPr/>
      </xdr:nvSpPr>
      <xdr:spPr>
        <a:xfrm>
          <a:off x="3002125" y="1471050"/>
          <a:ext cx="2792100" cy="1511100"/>
        </a:xfrm>
        <a:prstGeom prst="roundRect">
          <a:avLst>
            <a:gd fmla="val 16667" name="adj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Outfit"/>
              <a:ea typeface="Outfit"/>
              <a:cs typeface="Outfit"/>
              <a:sym typeface="Outfit"/>
            </a:rPr>
            <a:t>Mover a: </a:t>
          </a:r>
          <a:endParaRPr sz="1400">
            <a:solidFill>
              <a:srgbClr val="FFFFFF"/>
            </a:solidFill>
            <a:latin typeface="Outfit"/>
            <a:ea typeface="Outfit"/>
            <a:cs typeface="Outfit"/>
            <a:sym typeface="Outfit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  <a:latin typeface="Outfit"/>
              <a:ea typeface="Outfit"/>
              <a:cs typeface="Outfit"/>
              <a:sym typeface="Outfit"/>
            </a:rPr>
            <a:t>manuales | EPT reductions</a:t>
          </a:r>
          <a:endParaRPr sz="1400">
            <a:solidFill>
              <a:srgbClr val="FFFFFF"/>
            </a:solidFill>
            <a:latin typeface="Outfit"/>
            <a:ea typeface="Outfit"/>
            <a:cs typeface="Outfit"/>
            <a:sym typeface="Outfi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3">
        <v>7462.0</v>
      </c>
      <c r="C2" s="3" t="s">
        <v>5</v>
      </c>
      <c r="D2" s="3">
        <v>18.0</v>
      </c>
      <c r="E2" s="3"/>
    </row>
    <row r="3">
      <c r="A3" s="2"/>
      <c r="B3" s="3"/>
      <c r="C3" s="3"/>
      <c r="D3" s="3"/>
      <c r="E3" s="3"/>
    </row>
    <row r="4">
      <c r="A4" s="2"/>
      <c r="B4" s="3"/>
      <c r="C4" s="3"/>
      <c r="D4" s="3"/>
      <c r="E4" s="3"/>
    </row>
    <row r="5">
      <c r="A5" s="2"/>
      <c r="B5" s="3"/>
      <c r="C5" s="3"/>
      <c r="D5" s="3"/>
      <c r="E5" s="3"/>
    </row>
    <row r="6">
      <c r="A6" s="2"/>
      <c r="B6" s="3"/>
      <c r="C6" s="3"/>
      <c r="D6" s="3"/>
      <c r="E6" s="3"/>
    </row>
    <row r="7">
      <c r="A7" s="2"/>
      <c r="B7" s="3"/>
      <c r="C7" s="3"/>
      <c r="D7" s="3"/>
      <c r="E7" s="3"/>
    </row>
    <row r="8">
      <c r="A8" s="2"/>
      <c r="B8" s="3"/>
      <c r="C8" s="3"/>
      <c r="D8" s="3"/>
      <c r="E8" s="3"/>
    </row>
    <row r="9">
      <c r="A9" s="2"/>
      <c r="B9" s="3"/>
      <c r="C9" s="3"/>
      <c r="D9" s="3"/>
      <c r="E9" s="3"/>
    </row>
    <row r="10">
      <c r="A10" s="2"/>
      <c r="B10" s="3"/>
      <c r="C10" s="3"/>
      <c r="D10" s="3"/>
      <c r="E1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7.13"/>
    <col customWidth="1" min="3" max="3" width="26.88"/>
    <col customWidth="1" min="4" max="4" width="15.63"/>
    <col customWidth="1" min="5" max="5" width="19.0"/>
    <col customWidth="1" min="6" max="6" width="24.38"/>
    <col customWidth="1" min="7" max="7" width="11.38"/>
    <col customWidth="1" min="8" max="8" width="24.38"/>
    <col customWidth="1" min="9" max="10" width="37.75"/>
    <col customWidth="1" min="11" max="11" width="6.88"/>
    <col customWidth="1" min="12" max="12" width="13.63"/>
    <col customWidth="1" min="13" max="13" width="7.63"/>
  </cols>
  <sheetData>
    <row r="1">
      <c r="A1" s="4" t="s">
        <v>6</v>
      </c>
      <c r="B1" s="4" t="s">
        <v>0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</row>
    <row r="2">
      <c r="A2" s="5"/>
      <c r="B2" s="5"/>
      <c r="C2" s="5"/>
      <c r="D2" s="5"/>
      <c r="E2" s="5"/>
      <c r="F2" s="5"/>
      <c r="G2" s="5"/>
      <c r="H2" s="5"/>
      <c r="I2" s="5"/>
      <c r="J2" s="6"/>
      <c r="K2" s="7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6"/>
      <c r="K3" s="7"/>
      <c r="L3" s="6"/>
      <c r="M3" s="6"/>
    </row>
    <row r="4">
      <c r="A4" s="5"/>
      <c r="B4" s="5"/>
      <c r="C4" s="5"/>
      <c r="D4" s="5"/>
      <c r="E4" s="5"/>
      <c r="F4" s="5"/>
      <c r="G4" s="5"/>
      <c r="H4" s="5"/>
      <c r="I4" s="5"/>
      <c r="J4" s="6"/>
      <c r="K4" s="7"/>
      <c r="L4" s="6"/>
      <c r="M4" s="6"/>
    </row>
    <row r="5">
      <c r="A5" s="5"/>
      <c r="B5" s="5"/>
      <c r="C5" s="5"/>
      <c r="D5" s="5"/>
      <c r="E5" s="5"/>
      <c r="F5" s="5"/>
      <c r="G5" s="5"/>
      <c r="H5" s="5"/>
      <c r="I5" s="5"/>
      <c r="J5" s="6"/>
      <c r="K5" s="7"/>
      <c r="L5" s="6"/>
      <c r="M5" s="6"/>
    </row>
    <row r="6">
      <c r="A6" s="5"/>
      <c r="B6" s="5"/>
      <c r="C6" s="5"/>
      <c r="D6" s="5"/>
      <c r="E6" s="5"/>
      <c r="F6" s="5"/>
      <c r="G6" s="5"/>
      <c r="H6" s="5"/>
      <c r="I6" s="5"/>
      <c r="J6" s="6"/>
      <c r="K6" s="7"/>
      <c r="L6" s="6"/>
      <c r="M6" s="6"/>
    </row>
    <row r="7">
      <c r="A7" s="5"/>
      <c r="B7" s="5"/>
      <c r="C7" s="5"/>
      <c r="D7" s="5"/>
      <c r="E7" s="5"/>
      <c r="F7" s="5"/>
      <c r="G7" s="5"/>
      <c r="H7" s="5"/>
      <c r="I7" s="5"/>
      <c r="J7" s="6"/>
      <c r="K7" s="7"/>
      <c r="L7" s="6"/>
      <c r="M7" s="6"/>
    </row>
    <row r="8">
      <c r="A8" s="5"/>
      <c r="B8" s="5"/>
      <c r="C8" s="5"/>
      <c r="D8" s="5"/>
      <c r="E8" s="5"/>
      <c r="F8" s="5"/>
      <c r="G8" s="5"/>
      <c r="H8" s="5"/>
      <c r="I8" s="5"/>
      <c r="J8" s="6"/>
      <c r="K8" s="7"/>
      <c r="L8" s="6"/>
      <c r="M8" s="6"/>
    </row>
    <row r="9">
      <c r="A9" s="5"/>
      <c r="B9" s="5"/>
      <c r="C9" s="5"/>
      <c r="D9" s="5"/>
      <c r="E9" s="5"/>
      <c r="F9" s="5"/>
      <c r="G9" s="5"/>
      <c r="H9" s="5"/>
      <c r="I9" s="5"/>
      <c r="J9" s="6"/>
      <c r="K9" s="7"/>
      <c r="L9" s="6"/>
      <c r="M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2.0"/>
  </cols>
  <sheetData>
    <row r="1">
      <c r="A1" s="8" t="s">
        <v>18</v>
      </c>
      <c r="B1" s="8" t="s">
        <v>19</v>
      </c>
      <c r="C1" s="8" t="s">
        <v>11</v>
      </c>
      <c r="D1" s="8" t="s">
        <v>20</v>
      </c>
      <c r="E1" s="8" t="s">
        <v>2</v>
      </c>
      <c r="F1" s="8" t="s">
        <v>16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  <c r="U1" s="8" t="s">
        <v>35</v>
      </c>
      <c r="V1" s="8" t="s">
        <v>36</v>
      </c>
      <c r="W1" s="8" t="s">
        <v>37</v>
      </c>
      <c r="X1" s="8" t="s">
        <v>38</v>
      </c>
      <c r="Y1" s="8"/>
      <c r="Z1" s="8"/>
    </row>
    <row r="2">
      <c r="A2" s="9" t="s">
        <v>39</v>
      </c>
      <c r="B2" s="9" t="s">
        <v>40</v>
      </c>
      <c r="C2" s="9">
        <v>361954.0</v>
      </c>
      <c r="D2" s="9" t="s">
        <v>41</v>
      </c>
      <c r="E2" s="9" t="s">
        <v>42</v>
      </c>
      <c r="F2" s="9">
        <v>11.93</v>
      </c>
      <c r="G2" s="9">
        <v>41.04</v>
      </c>
      <c r="H2" s="9">
        <v>29.11</v>
      </c>
      <c r="I2" s="9">
        <v>2.04</v>
      </c>
      <c r="J2" s="9">
        <v>202.0</v>
      </c>
      <c r="K2" s="9">
        <v>23.49</v>
      </c>
      <c r="L2" s="9">
        <v>0.1287</v>
      </c>
      <c r="M2" s="9">
        <v>11.93</v>
      </c>
      <c r="N2" s="9">
        <v>41.04</v>
      </c>
      <c r="O2" s="9">
        <v>0.3193</v>
      </c>
      <c r="P2" s="9">
        <v>0.0066</v>
      </c>
      <c r="Q2" s="9">
        <v>0.3259</v>
      </c>
      <c r="R2" s="9">
        <v>0.4554</v>
      </c>
      <c r="S2" s="9">
        <v>0.1832</v>
      </c>
      <c r="T2" s="9" t="b">
        <v>1</v>
      </c>
      <c r="U2" s="9" t="b">
        <v>1</v>
      </c>
      <c r="V2" s="9"/>
      <c r="W2" s="9">
        <v>1.0</v>
      </c>
      <c r="X2" s="10" t="s">
        <v>43</v>
      </c>
      <c r="Y2" s="9"/>
      <c r="Z2" s="9"/>
    </row>
    <row r="3">
      <c r="A3" s="9" t="s">
        <v>39</v>
      </c>
      <c r="B3" s="9" t="s">
        <v>44</v>
      </c>
      <c r="C3" s="9">
        <v>520243.0</v>
      </c>
      <c r="D3" s="9" t="s">
        <v>45</v>
      </c>
      <c r="E3" s="9" t="s">
        <v>42</v>
      </c>
      <c r="F3" s="9">
        <v>11.93</v>
      </c>
      <c r="G3" s="9">
        <v>40.14</v>
      </c>
      <c r="H3" s="9">
        <v>28.21</v>
      </c>
      <c r="I3" s="9">
        <v>0.45</v>
      </c>
      <c r="J3" s="9">
        <v>28.0</v>
      </c>
      <c r="K3" s="9">
        <v>30.63</v>
      </c>
      <c r="L3" s="9">
        <v>1.0</v>
      </c>
      <c r="M3" s="9">
        <v>11.93</v>
      </c>
      <c r="N3" s="9">
        <v>40.14</v>
      </c>
      <c r="O3" s="9">
        <v>0.3929</v>
      </c>
      <c r="P3" s="9">
        <v>0.0119</v>
      </c>
      <c r="Q3" s="9">
        <v>0.4048</v>
      </c>
      <c r="R3" s="9">
        <v>0.6071</v>
      </c>
      <c r="S3" s="9">
        <v>0.0357</v>
      </c>
      <c r="T3" s="9" t="b">
        <v>1</v>
      </c>
      <c r="U3" s="9" t="b">
        <v>1</v>
      </c>
      <c r="V3" s="9"/>
      <c r="W3" s="9">
        <v>1.0</v>
      </c>
      <c r="X3" s="10" t="s">
        <v>43</v>
      </c>
      <c r="Y3" s="9"/>
      <c r="Z3" s="9"/>
    </row>
    <row r="4">
      <c r="A4" s="9" t="s">
        <v>46</v>
      </c>
      <c r="B4" s="9" t="s">
        <v>47</v>
      </c>
      <c r="C4" s="9">
        <v>515484.0</v>
      </c>
      <c r="D4" s="9" t="s">
        <v>48</v>
      </c>
      <c r="E4" s="9" t="s">
        <v>25</v>
      </c>
      <c r="F4" s="9">
        <v>6.68</v>
      </c>
      <c r="G4" s="9">
        <v>30.32</v>
      </c>
      <c r="H4" s="9">
        <v>23.64</v>
      </c>
      <c r="I4" s="9">
        <v>0.02</v>
      </c>
      <c r="J4" s="9">
        <v>44.0</v>
      </c>
      <c r="K4" s="9">
        <v>6.68</v>
      </c>
      <c r="L4" s="9">
        <v>1.0</v>
      </c>
      <c r="M4" s="9">
        <v>5.55</v>
      </c>
      <c r="N4" s="9">
        <v>30.32</v>
      </c>
      <c r="O4" s="9">
        <v>0.0227</v>
      </c>
      <c r="P4" s="9">
        <v>0.0</v>
      </c>
      <c r="Q4" s="9">
        <v>0.0227</v>
      </c>
      <c r="R4" s="9">
        <v>0.9545</v>
      </c>
      <c r="S4" s="9">
        <v>0.0</v>
      </c>
      <c r="T4" s="9" t="b">
        <v>1</v>
      </c>
      <c r="U4" s="9" t="b">
        <v>1</v>
      </c>
      <c r="V4" s="9"/>
      <c r="W4" s="9">
        <v>1.0</v>
      </c>
      <c r="X4" s="10" t="s">
        <v>43</v>
      </c>
      <c r="Y4" s="9"/>
      <c r="Z4" s="9"/>
    </row>
    <row r="5">
      <c r="A5" s="9" t="s">
        <v>49</v>
      </c>
      <c r="B5" s="9" t="s">
        <v>47</v>
      </c>
      <c r="C5" s="9">
        <v>625616.0</v>
      </c>
      <c r="D5" s="9" t="s">
        <v>50</v>
      </c>
      <c r="E5" s="9" t="s">
        <v>51</v>
      </c>
      <c r="F5" s="9">
        <v>10.9</v>
      </c>
      <c r="G5" s="9">
        <v>34.18</v>
      </c>
      <c r="H5" s="9">
        <v>23.28</v>
      </c>
      <c r="I5" s="9">
        <v>0.96</v>
      </c>
      <c r="J5" s="9">
        <v>65.0</v>
      </c>
      <c r="K5" s="9" t="s">
        <v>39</v>
      </c>
      <c r="L5" s="9">
        <v>0.0</v>
      </c>
      <c r="M5" s="9">
        <v>11.74</v>
      </c>
      <c r="N5" s="9">
        <v>10.9</v>
      </c>
      <c r="O5" s="9">
        <v>0.0077</v>
      </c>
      <c r="P5" s="9">
        <v>0.0</v>
      </c>
      <c r="Q5" s="9">
        <v>0.0077</v>
      </c>
      <c r="R5" s="9">
        <v>0.4154</v>
      </c>
      <c r="S5" s="9">
        <v>0.0769</v>
      </c>
      <c r="T5" s="9" t="b">
        <v>1</v>
      </c>
      <c r="U5" s="9" t="b">
        <v>1</v>
      </c>
      <c r="V5" s="9"/>
      <c r="W5" s="9">
        <v>1.0</v>
      </c>
      <c r="X5" s="10" t="s">
        <v>43</v>
      </c>
      <c r="Y5" s="9"/>
      <c r="Z5" s="9"/>
    </row>
    <row r="6">
      <c r="A6" s="9" t="s">
        <v>52</v>
      </c>
      <c r="B6" s="9" t="s">
        <v>47</v>
      </c>
      <c r="C6" s="9">
        <v>574290.0</v>
      </c>
      <c r="D6" s="9" t="s">
        <v>53</v>
      </c>
      <c r="E6" s="9" t="s">
        <v>51</v>
      </c>
      <c r="F6" s="9">
        <v>15.8</v>
      </c>
      <c r="G6" s="9">
        <v>32.18</v>
      </c>
      <c r="H6" s="9">
        <v>16.38</v>
      </c>
      <c r="I6" s="9">
        <v>8.49</v>
      </c>
      <c r="J6" s="9">
        <v>28.0</v>
      </c>
      <c r="K6" s="9" t="s">
        <v>39</v>
      </c>
      <c r="L6" s="9">
        <v>0.0</v>
      </c>
      <c r="M6" s="9">
        <v>23.21</v>
      </c>
      <c r="N6" s="9">
        <v>15.8</v>
      </c>
      <c r="O6" s="9">
        <v>0.0357</v>
      </c>
      <c r="P6" s="9">
        <v>0.0476</v>
      </c>
      <c r="Q6" s="9">
        <v>0.0833</v>
      </c>
      <c r="R6" s="9">
        <v>0.0714</v>
      </c>
      <c r="S6" s="9">
        <v>0.3929</v>
      </c>
      <c r="T6" s="9" t="b">
        <v>1</v>
      </c>
      <c r="U6" s="9" t="b">
        <v>1</v>
      </c>
      <c r="V6" s="9"/>
      <c r="W6" s="9">
        <v>1.0</v>
      </c>
      <c r="X6" s="10" t="s">
        <v>43</v>
      </c>
      <c r="Y6" s="9"/>
      <c r="Z6" s="9"/>
    </row>
    <row r="7">
      <c r="A7" s="9" t="s">
        <v>57</v>
      </c>
      <c r="B7" s="9" t="s">
        <v>47</v>
      </c>
      <c r="C7" s="9">
        <v>137518.0</v>
      </c>
      <c r="D7" s="9" t="s">
        <v>59</v>
      </c>
      <c r="E7" s="9" t="s">
        <v>51</v>
      </c>
      <c r="F7" s="9">
        <v>11.62</v>
      </c>
      <c r="G7" s="9">
        <v>27.97</v>
      </c>
      <c r="H7" s="9">
        <v>16.35</v>
      </c>
      <c r="I7" s="9">
        <v>3.85</v>
      </c>
      <c r="J7" s="9">
        <v>29.0</v>
      </c>
      <c r="K7" s="9" t="s">
        <v>39</v>
      </c>
      <c r="L7" s="9">
        <v>0.0</v>
      </c>
      <c r="M7" s="9">
        <v>14.44</v>
      </c>
      <c r="N7" s="9">
        <v>11.71</v>
      </c>
      <c r="O7" s="9">
        <v>0.0345</v>
      </c>
      <c r="P7" s="9">
        <v>0.023</v>
      </c>
      <c r="Q7" s="9">
        <v>0.0575</v>
      </c>
      <c r="R7" s="9">
        <v>0.1379</v>
      </c>
      <c r="S7" s="9">
        <v>0.2759</v>
      </c>
      <c r="T7" s="9" t="b">
        <v>1</v>
      </c>
      <c r="U7" s="9" t="b">
        <v>1</v>
      </c>
      <c r="V7" s="9"/>
      <c r="W7" s="9">
        <v>1.0</v>
      </c>
      <c r="X7" s="10" t="s">
        <v>43</v>
      </c>
      <c r="Y7" s="9"/>
      <c r="Z7" s="9"/>
    </row>
    <row r="8">
      <c r="A8" s="9" t="s">
        <v>39</v>
      </c>
      <c r="B8" s="9" t="s">
        <v>47</v>
      </c>
      <c r="C8" s="9">
        <v>364058.0</v>
      </c>
      <c r="D8" s="9" t="s">
        <v>71</v>
      </c>
      <c r="E8" s="9" t="s">
        <v>42</v>
      </c>
      <c r="F8" s="9">
        <v>14.21</v>
      </c>
      <c r="G8" s="9">
        <v>30.5</v>
      </c>
      <c r="H8" s="9">
        <v>16.29</v>
      </c>
      <c r="I8" s="9">
        <v>6.49</v>
      </c>
      <c r="J8" s="9">
        <v>28.0</v>
      </c>
      <c r="K8" s="9">
        <v>32.29</v>
      </c>
      <c r="L8" s="9">
        <v>0.4286</v>
      </c>
      <c r="M8" s="9">
        <v>14.21</v>
      </c>
      <c r="N8" s="9">
        <v>30.5</v>
      </c>
      <c r="O8" s="9">
        <v>0.1429</v>
      </c>
      <c r="P8" s="9">
        <v>0.0119</v>
      </c>
      <c r="Q8" s="9">
        <v>0.1548</v>
      </c>
      <c r="R8" s="9">
        <v>0.0714</v>
      </c>
      <c r="S8" s="9">
        <v>0.7857</v>
      </c>
      <c r="T8" s="9" t="b">
        <v>1</v>
      </c>
      <c r="U8" s="9" t="b">
        <v>1</v>
      </c>
      <c r="V8" s="9"/>
      <c r="W8" s="9">
        <v>1.0</v>
      </c>
      <c r="X8" s="10" t="s">
        <v>43</v>
      </c>
      <c r="Y8" s="9"/>
      <c r="Z8" s="9"/>
    </row>
    <row r="9">
      <c r="A9" s="9" t="s">
        <v>39</v>
      </c>
      <c r="B9" s="9" t="s">
        <v>47</v>
      </c>
      <c r="C9" s="9">
        <v>502941.0</v>
      </c>
      <c r="D9" s="9" t="s">
        <v>76</v>
      </c>
      <c r="E9" s="9" t="s">
        <v>42</v>
      </c>
      <c r="F9" s="9">
        <v>16.38</v>
      </c>
      <c r="G9" s="9">
        <v>32.6</v>
      </c>
      <c r="H9" s="9">
        <v>16.22</v>
      </c>
      <c r="I9" s="9">
        <v>7.57</v>
      </c>
      <c r="J9" s="9">
        <v>40.0</v>
      </c>
      <c r="K9" s="9">
        <v>47.91</v>
      </c>
      <c r="L9" s="9">
        <v>0.6</v>
      </c>
      <c r="M9" s="9">
        <v>16.38</v>
      </c>
      <c r="N9" s="9">
        <v>32.6</v>
      </c>
      <c r="O9" s="9">
        <v>0.125</v>
      </c>
      <c r="P9" s="9">
        <v>0.0083</v>
      </c>
      <c r="Q9" s="9">
        <v>0.1333</v>
      </c>
      <c r="R9" s="9">
        <v>0.1</v>
      </c>
      <c r="S9" s="9">
        <v>0.55</v>
      </c>
      <c r="T9" s="9" t="b">
        <v>1</v>
      </c>
      <c r="U9" s="9" t="b">
        <v>1</v>
      </c>
      <c r="V9" s="9"/>
      <c r="W9" s="9">
        <v>1.0</v>
      </c>
      <c r="X9" s="10" t="s">
        <v>43</v>
      </c>
      <c r="Y9" s="9"/>
      <c r="Z9" s="9"/>
    </row>
    <row r="10">
      <c r="A10" s="9" t="s">
        <v>78</v>
      </c>
      <c r="B10" s="9" t="s">
        <v>47</v>
      </c>
      <c r="C10" s="9">
        <v>48599.0</v>
      </c>
      <c r="D10" s="9" t="s">
        <v>79</v>
      </c>
      <c r="E10" s="9" t="s">
        <v>51</v>
      </c>
      <c r="F10" s="9">
        <v>12.46</v>
      </c>
      <c r="G10" s="9">
        <v>28.13</v>
      </c>
      <c r="H10" s="9">
        <v>15.67</v>
      </c>
      <c r="I10" s="9">
        <v>6.75</v>
      </c>
      <c r="J10" s="9">
        <v>32.0</v>
      </c>
      <c r="K10" s="9">
        <v>37.52</v>
      </c>
      <c r="L10" s="9">
        <v>0.5625</v>
      </c>
      <c r="M10" s="9">
        <v>12.39</v>
      </c>
      <c r="N10" s="9">
        <v>12.46</v>
      </c>
      <c r="O10" s="9">
        <v>0.0625</v>
      </c>
      <c r="P10" s="9">
        <v>0.0625</v>
      </c>
      <c r="Q10" s="9">
        <v>0.125</v>
      </c>
      <c r="R10" s="9">
        <v>0.1563</v>
      </c>
      <c r="S10" s="9">
        <v>0.5</v>
      </c>
      <c r="T10" s="9" t="b">
        <v>1</v>
      </c>
      <c r="U10" s="9" t="b">
        <v>1</v>
      </c>
      <c r="V10" s="9"/>
      <c r="W10" s="9">
        <v>1.0</v>
      </c>
      <c r="X10" s="10" t="s">
        <v>43</v>
      </c>
      <c r="Y10" s="9"/>
      <c r="Z10" s="9"/>
    </row>
    <row r="11">
      <c r="A11" s="9" t="s">
        <v>86</v>
      </c>
      <c r="B11" s="9" t="s">
        <v>88</v>
      </c>
      <c r="C11" s="9">
        <v>580144.0</v>
      </c>
      <c r="D11" s="9" t="s">
        <v>91</v>
      </c>
      <c r="E11" s="9" t="s">
        <v>51</v>
      </c>
      <c r="F11" s="9">
        <v>10.91</v>
      </c>
      <c r="G11" s="9">
        <v>25.73</v>
      </c>
      <c r="H11" s="9">
        <v>14.82</v>
      </c>
      <c r="I11" s="9">
        <v>5.74</v>
      </c>
      <c r="J11" s="9">
        <v>147.0</v>
      </c>
      <c r="K11" s="9" t="s">
        <v>39</v>
      </c>
      <c r="L11" s="9">
        <v>0.0</v>
      </c>
      <c r="M11" s="9">
        <v>12.79</v>
      </c>
      <c r="N11" s="9">
        <v>10.91</v>
      </c>
      <c r="O11" s="9">
        <v>0.051</v>
      </c>
      <c r="P11" s="9">
        <v>0.0374</v>
      </c>
      <c r="Q11" s="9">
        <v>0.0884</v>
      </c>
      <c r="R11" s="9">
        <v>0.1156</v>
      </c>
      <c r="S11" s="9">
        <v>0.5442</v>
      </c>
      <c r="T11" s="9" t="b">
        <v>1</v>
      </c>
      <c r="U11" s="9" t="b">
        <v>1</v>
      </c>
      <c r="V11" s="9"/>
      <c r="W11" s="9">
        <v>1.0</v>
      </c>
      <c r="X11" s="10" t="s">
        <v>43</v>
      </c>
      <c r="Y11" s="9"/>
      <c r="Z11" s="9"/>
    </row>
    <row r="12">
      <c r="A12" s="9" t="s">
        <v>39</v>
      </c>
      <c r="B12" s="9" t="s">
        <v>44</v>
      </c>
      <c r="C12" s="9">
        <v>378810.0</v>
      </c>
      <c r="D12" s="9" t="s">
        <v>116</v>
      </c>
      <c r="E12" s="9" t="s">
        <v>42</v>
      </c>
      <c r="F12" s="9">
        <v>23.21</v>
      </c>
      <c r="G12" s="9">
        <v>37.69</v>
      </c>
      <c r="H12" s="9">
        <v>14.48</v>
      </c>
      <c r="I12" s="9">
        <v>5.9</v>
      </c>
      <c r="J12" s="9">
        <v>240.0</v>
      </c>
      <c r="K12" s="9">
        <v>41.49</v>
      </c>
      <c r="L12" s="9">
        <v>0.9167</v>
      </c>
      <c r="M12" s="9">
        <v>23.21</v>
      </c>
      <c r="N12" s="9">
        <v>37.69</v>
      </c>
      <c r="O12" s="9">
        <v>0.1344</v>
      </c>
      <c r="P12" s="9">
        <v>0.0604</v>
      </c>
      <c r="Q12" s="9">
        <v>0.1948</v>
      </c>
      <c r="R12" s="9">
        <v>0.3375</v>
      </c>
      <c r="S12" s="9">
        <v>0.4542</v>
      </c>
      <c r="T12" s="9" t="b">
        <v>1</v>
      </c>
      <c r="U12" s="9" t="b">
        <v>1</v>
      </c>
      <c r="V12" s="9"/>
      <c r="W12" s="9">
        <v>1.0</v>
      </c>
      <c r="X12" s="10" t="s">
        <v>43</v>
      </c>
      <c r="Y12" s="9"/>
      <c r="Z12" s="9"/>
    </row>
    <row r="13">
      <c r="A13" s="9" t="s">
        <v>131</v>
      </c>
      <c r="B13" s="9" t="s">
        <v>47</v>
      </c>
      <c r="C13" s="9">
        <v>375826.0</v>
      </c>
      <c r="D13" s="9" t="s">
        <v>134</v>
      </c>
      <c r="E13" s="9" t="s">
        <v>51</v>
      </c>
      <c r="F13" s="9">
        <v>14.96</v>
      </c>
      <c r="G13" s="9">
        <v>28.43</v>
      </c>
      <c r="H13" s="9">
        <v>13.47</v>
      </c>
      <c r="I13" s="9">
        <v>4.46</v>
      </c>
      <c r="J13" s="9">
        <v>72.0</v>
      </c>
      <c r="K13" s="9" t="s">
        <v>39</v>
      </c>
      <c r="L13" s="9">
        <v>0.0</v>
      </c>
      <c r="M13" s="9">
        <v>15.42</v>
      </c>
      <c r="N13" s="9">
        <v>15.09</v>
      </c>
      <c r="O13" s="9">
        <v>0.066</v>
      </c>
      <c r="P13" s="9">
        <v>0.0046</v>
      </c>
      <c r="Q13" s="9">
        <v>0.0706</v>
      </c>
      <c r="R13" s="9">
        <v>0.2361</v>
      </c>
      <c r="S13" s="9">
        <v>0.375</v>
      </c>
      <c r="T13" s="9" t="b">
        <v>1</v>
      </c>
      <c r="U13" s="9" t="b">
        <v>1</v>
      </c>
      <c r="V13" s="9"/>
      <c r="W13" s="9">
        <v>1.0</v>
      </c>
      <c r="X13" s="10" t="s">
        <v>43</v>
      </c>
      <c r="Y13" s="9"/>
      <c r="Z13" s="9"/>
    </row>
    <row r="14">
      <c r="A14" s="9" t="s">
        <v>158</v>
      </c>
      <c r="B14" s="9" t="s">
        <v>88</v>
      </c>
      <c r="C14" s="9">
        <v>526573.0</v>
      </c>
      <c r="D14" s="9" t="s">
        <v>161</v>
      </c>
      <c r="E14" s="9" t="s">
        <v>42</v>
      </c>
      <c r="F14" s="9">
        <v>14.21</v>
      </c>
      <c r="G14" s="9">
        <v>27.66</v>
      </c>
      <c r="H14" s="9">
        <v>13.45</v>
      </c>
      <c r="I14" s="9">
        <v>4.04</v>
      </c>
      <c r="J14" s="9">
        <v>119.0</v>
      </c>
      <c r="K14" s="9">
        <v>14.46</v>
      </c>
      <c r="L14" s="9">
        <v>0.1933</v>
      </c>
      <c r="M14" s="9">
        <v>14.21</v>
      </c>
      <c r="N14" s="9">
        <v>17.7</v>
      </c>
      <c r="O14" s="9">
        <v>0.2185</v>
      </c>
      <c r="P14" s="9">
        <v>0.007</v>
      </c>
      <c r="Q14" s="9">
        <v>0.2255</v>
      </c>
      <c r="R14" s="9">
        <v>0.1681</v>
      </c>
      <c r="S14" s="9">
        <v>0.4538</v>
      </c>
      <c r="T14" s="9" t="b">
        <v>1</v>
      </c>
      <c r="U14" s="9" t="b">
        <v>1</v>
      </c>
      <c r="V14" s="9"/>
      <c r="W14" s="9">
        <v>1.0</v>
      </c>
      <c r="X14" s="10" t="s">
        <v>43</v>
      </c>
      <c r="Y14" s="9"/>
      <c r="Z14" s="9"/>
    </row>
    <row r="15">
      <c r="A15" s="9" t="s">
        <v>39</v>
      </c>
      <c r="B15" s="9" t="s">
        <v>47</v>
      </c>
      <c r="C15" s="9">
        <v>598110.0</v>
      </c>
      <c r="D15" s="9" t="s">
        <v>192</v>
      </c>
      <c r="E15" s="9" t="s">
        <v>42</v>
      </c>
      <c r="F15" s="9">
        <v>23.21</v>
      </c>
      <c r="G15" s="9">
        <v>36.66</v>
      </c>
      <c r="H15" s="9">
        <v>13.45</v>
      </c>
      <c r="I15" s="9">
        <v>12.24</v>
      </c>
      <c r="J15" s="9">
        <v>38.0</v>
      </c>
      <c r="K15" s="9">
        <v>56.69</v>
      </c>
      <c r="L15" s="9">
        <v>0.3158</v>
      </c>
      <c r="M15" s="9">
        <v>23.21</v>
      </c>
      <c r="N15" s="9">
        <v>36.66</v>
      </c>
      <c r="O15" s="9">
        <v>0.1053</v>
      </c>
      <c r="P15" s="9">
        <v>0.1623</v>
      </c>
      <c r="Q15" s="9">
        <v>0.2676</v>
      </c>
      <c r="R15" s="9">
        <v>0.0526</v>
      </c>
      <c r="S15" s="9">
        <v>0.5</v>
      </c>
      <c r="T15" s="9" t="b">
        <v>1</v>
      </c>
      <c r="U15" s="9" t="b">
        <v>1</v>
      </c>
      <c r="V15" s="9"/>
      <c r="W15" s="9">
        <v>1.0</v>
      </c>
      <c r="X15" s="10" t="s">
        <v>43</v>
      </c>
      <c r="Y15" s="9"/>
      <c r="Z15" s="9"/>
    </row>
    <row r="16">
      <c r="A16" s="9" t="s">
        <v>218</v>
      </c>
      <c r="B16" s="9" t="s">
        <v>47</v>
      </c>
      <c r="C16" s="9">
        <v>543164.0</v>
      </c>
      <c r="D16" s="9" t="s">
        <v>223</v>
      </c>
      <c r="E16" s="9" t="s">
        <v>42</v>
      </c>
      <c r="F16" s="9">
        <v>17.1</v>
      </c>
      <c r="G16" s="9">
        <v>30.5</v>
      </c>
      <c r="H16" s="9">
        <v>13.4</v>
      </c>
      <c r="I16" s="9">
        <v>2.42</v>
      </c>
      <c r="J16" s="9">
        <v>40.0</v>
      </c>
      <c r="K16" s="9" t="s">
        <v>39</v>
      </c>
      <c r="L16" s="9">
        <v>0.0</v>
      </c>
      <c r="M16" s="9">
        <v>17.1</v>
      </c>
      <c r="N16" s="9">
        <v>30.5</v>
      </c>
      <c r="O16" s="9">
        <v>0.1125</v>
      </c>
      <c r="P16" s="9">
        <v>0.025</v>
      </c>
      <c r="Q16" s="9">
        <v>0.1375</v>
      </c>
      <c r="R16" s="9">
        <v>0.275</v>
      </c>
      <c r="S16" s="9">
        <v>0.2</v>
      </c>
      <c r="T16" s="9" t="b">
        <v>1</v>
      </c>
      <c r="U16" s="9" t="b">
        <v>1</v>
      </c>
      <c r="V16" s="9"/>
      <c r="W16" s="9">
        <v>1.0</v>
      </c>
      <c r="X16" s="10" t="s">
        <v>43</v>
      </c>
      <c r="Y16" s="9"/>
      <c r="Z16" s="9"/>
    </row>
    <row r="17">
      <c r="A17" s="9" t="s">
        <v>258</v>
      </c>
      <c r="B17" s="9" t="s">
        <v>47</v>
      </c>
      <c r="C17" s="9">
        <v>423514.0</v>
      </c>
      <c r="D17" s="9" t="s">
        <v>264</v>
      </c>
      <c r="E17" s="9" t="s">
        <v>42</v>
      </c>
      <c r="F17" s="9">
        <v>17.64</v>
      </c>
      <c r="G17" s="9">
        <v>30.9</v>
      </c>
      <c r="H17" s="9">
        <v>13.26</v>
      </c>
      <c r="I17" s="9">
        <v>9.26</v>
      </c>
      <c r="J17" s="9">
        <v>42.0</v>
      </c>
      <c r="K17" s="9" t="s">
        <v>39</v>
      </c>
      <c r="L17" s="9">
        <v>0.0</v>
      </c>
      <c r="M17" s="9">
        <v>17.64</v>
      </c>
      <c r="N17" s="9">
        <v>23.19</v>
      </c>
      <c r="O17" s="9">
        <v>0.131</v>
      </c>
      <c r="P17" s="9">
        <v>0.1151</v>
      </c>
      <c r="Q17" s="9">
        <v>0.2461</v>
      </c>
      <c r="R17" s="9">
        <v>0.0714</v>
      </c>
      <c r="S17" s="9">
        <v>0.5238</v>
      </c>
      <c r="T17" s="9" t="b">
        <v>1</v>
      </c>
      <c r="U17" s="9" t="b">
        <v>1</v>
      </c>
      <c r="V17" s="9"/>
      <c r="W17" s="9">
        <v>1.0</v>
      </c>
      <c r="X17" s="10" t="s">
        <v>43</v>
      </c>
      <c r="Y17" s="9"/>
      <c r="Z17" s="9"/>
    </row>
    <row r="18">
      <c r="A18" s="9" t="s">
        <v>39</v>
      </c>
      <c r="B18" s="9" t="s">
        <v>40</v>
      </c>
      <c r="C18" s="9">
        <v>307148.0</v>
      </c>
      <c r="D18" s="9" t="s">
        <v>296</v>
      </c>
      <c r="E18" s="9" t="s">
        <v>42</v>
      </c>
      <c r="F18" s="9">
        <v>14.21</v>
      </c>
      <c r="G18" s="9">
        <v>27.3</v>
      </c>
      <c r="H18" s="9">
        <v>13.09</v>
      </c>
      <c r="I18" s="9">
        <v>3.7</v>
      </c>
      <c r="J18" s="9">
        <v>809.0</v>
      </c>
      <c r="K18" s="9">
        <v>30.76</v>
      </c>
      <c r="L18" s="9">
        <v>0.9765</v>
      </c>
      <c r="M18" s="9">
        <v>14.21</v>
      </c>
      <c r="N18" s="9">
        <v>27.3</v>
      </c>
      <c r="O18" s="9">
        <v>0.1656</v>
      </c>
      <c r="P18" s="9">
        <v>0.0445</v>
      </c>
      <c r="Q18" s="9">
        <v>0.2101</v>
      </c>
      <c r="R18" s="9">
        <v>0.4388</v>
      </c>
      <c r="S18" s="9">
        <v>0.288</v>
      </c>
      <c r="T18" s="9" t="b">
        <v>1</v>
      </c>
      <c r="U18" s="9" t="b">
        <v>1</v>
      </c>
      <c r="V18" s="9"/>
      <c r="W18" s="9">
        <v>1.0</v>
      </c>
      <c r="X18" s="10" t="s">
        <v>43</v>
      </c>
      <c r="Y18" s="9"/>
      <c r="Z18" s="9"/>
    </row>
    <row r="19">
      <c r="A19" s="9" t="s">
        <v>258</v>
      </c>
      <c r="B19" s="9" t="s">
        <v>47</v>
      </c>
      <c r="C19" s="9">
        <v>374879.0</v>
      </c>
      <c r="D19" s="9" t="s">
        <v>330</v>
      </c>
      <c r="E19" s="9" t="s">
        <v>42</v>
      </c>
      <c r="F19" s="9">
        <v>17.64</v>
      </c>
      <c r="G19" s="9">
        <v>30.59</v>
      </c>
      <c r="H19" s="9">
        <v>12.95</v>
      </c>
      <c r="I19" s="9">
        <v>7.05</v>
      </c>
      <c r="J19" s="9">
        <v>27.0</v>
      </c>
      <c r="K19" s="9">
        <v>34.88</v>
      </c>
      <c r="L19" s="9">
        <v>0.6296</v>
      </c>
      <c r="M19" s="9">
        <v>17.64</v>
      </c>
      <c r="N19" s="9">
        <v>23.19</v>
      </c>
      <c r="O19" s="9">
        <v>0.1111</v>
      </c>
      <c r="P19" s="9">
        <v>0.0926</v>
      </c>
      <c r="Q19" s="9">
        <v>0.2037</v>
      </c>
      <c r="R19" s="9">
        <v>0.2222</v>
      </c>
      <c r="S19" s="9">
        <v>0.2222</v>
      </c>
      <c r="T19" s="9" t="b">
        <v>1</v>
      </c>
      <c r="U19" s="9" t="b">
        <v>1</v>
      </c>
      <c r="V19" s="9"/>
      <c r="W19" s="9">
        <v>1.0</v>
      </c>
      <c r="X19" s="10" t="s">
        <v>43</v>
      </c>
      <c r="Y19" s="9"/>
      <c r="Z19" s="9"/>
    </row>
    <row r="20">
      <c r="A20" s="9" t="s">
        <v>365</v>
      </c>
      <c r="B20" s="9" t="s">
        <v>47</v>
      </c>
      <c r="C20" s="9">
        <v>55266.0</v>
      </c>
      <c r="D20" s="9" t="s">
        <v>371</v>
      </c>
      <c r="E20" s="9" t="s">
        <v>51</v>
      </c>
      <c r="F20" s="9">
        <v>17.07</v>
      </c>
      <c r="G20" s="9">
        <v>29.96</v>
      </c>
      <c r="H20" s="9">
        <v>12.89</v>
      </c>
      <c r="I20" s="9">
        <v>4.36</v>
      </c>
      <c r="J20" s="9">
        <v>27.0</v>
      </c>
      <c r="K20" s="9" t="s">
        <v>39</v>
      </c>
      <c r="L20" s="9">
        <v>0.0</v>
      </c>
      <c r="M20" s="9">
        <v>14.21</v>
      </c>
      <c r="N20" s="9">
        <v>17.07</v>
      </c>
      <c r="O20" s="9">
        <v>0.0741</v>
      </c>
      <c r="P20" s="9">
        <v>0.037</v>
      </c>
      <c r="Q20" s="9">
        <v>0.1111</v>
      </c>
      <c r="R20" s="9">
        <v>0.3333</v>
      </c>
      <c r="S20" s="9">
        <v>0.5185</v>
      </c>
      <c r="T20" s="9" t="b">
        <v>1</v>
      </c>
      <c r="U20" s="9" t="b">
        <v>1</v>
      </c>
      <c r="V20" s="9"/>
      <c r="W20" s="9">
        <v>1.0</v>
      </c>
      <c r="X20" s="10" t="s">
        <v>43</v>
      </c>
      <c r="Y20" s="9"/>
      <c r="Z20" s="9"/>
    </row>
    <row r="21">
      <c r="A21" s="9" t="s">
        <v>39</v>
      </c>
      <c r="B21" s="9" t="s">
        <v>88</v>
      </c>
      <c r="C21" s="9">
        <v>580506.0</v>
      </c>
      <c r="D21" s="9" t="s">
        <v>394</v>
      </c>
      <c r="E21" s="9" t="s">
        <v>42</v>
      </c>
      <c r="F21" s="9">
        <v>23.21</v>
      </c>
      <c r="G21" s="9">
        <v>35.83</v>
      </c>
      <c r="H21" s="9">
        <v>12.62</v>
      </c>
      <c r="I21" s="9">
        <v>5.42</v>
      </c>
      <c r="J21" s="9">
        <v>120.0</v>
      </c>
      <c r="K21" s="9">
        <v>39.83</v>
      </c>
      <c r="L21" s="9">
        <v>0.1417</v>
      </c>
      <c r="M21" s="9">
        <v>23.21</v>
      </c>
      <c r="N21" s="9">
        <v>35.83</v>
      </c>
      <c r="O21" s="9">
        <v>0.1583</v>
      </c>
      <c r="P21" s="9">
        <v>0.0306</v>
      </c>
      <c r="Q21" s="9">
        <v>0.1889</v>
      </c>
      <c r="R21" s="9">
        <v>0.1333</v>
      </c>
      <c r="S21" s="9">
        <v>0.2833</v>
      </c>
      <c r="T21" s="9" t="b">
        <v>1</v>
      </c>
      <c r="U21" s="9" t="b">
        <v>1</v>
      </c>
      <c r="V21" s="9"/>
      <c r="W21" s="9">
        <v>1.0</v>
      </c>
      <c r="X21" s="10" t="s">
        <v>43</v>
      </c>
      <c r="Y21" s="9"/>
      <c r="Z21" s="9"/>
    </row>
    <row r="22">
      <c r="A22" s="9" t="s">
        <v>432</v>
      </c>
      <c r="B22" s="9" t="s">
        <v>47</v>
      </c>
      <c r="C22" s="9">
        <v>65064.0</v>
      </c>
      <c r="D22" s="9" t="s">
        <v>437</v>
      </c>
      <c r="E22" s="9" t="s">
        <v>51</v>
      </c>
      <c r="F22" s="9">
        <v>7.88</v>
      </c>
      <c r="G22" s="9">
        <v>20.33</v>
      </c>
      <c r="H22" s="9">
        <v>12.45</v>
      </c>
      <c r="I22" s="9">
        <v>1.44</v>
      </c>
      <c r="J22" s="9">
        <v>27.0</v>
      </c>
      <c r="K22" s="9">
        <v>30.2</v>
      </c>
      <c r="L22" s="9">
        <v>0.1481</v>
      </c>
      <c r="M22" s="9">
        <v>11.74</v>
      </c>
      <c r="N22" s="9">
        <v>7.88</v>
      </c>
      <c r="O22" s="9">
        <v>0.0</v>
      </c>
      <c r="P22" s="9">
        <v>0.0</v>
      </c>
      <c r="Q22" s="9">
        <v>0.0</v>
      </c>
      <c r="R22" s="9">
        <v>0.2963</v>
      </c>
      <c r="S22" s="9">
        <v>0.1852</v>
      </c>
      <c r="T22" s="9" t="b">
        <v>1</v>
      </c>
      <c r="U22" s="9" t="b">
        <v>1</v>
      </c>
      <c r="V22" s="9"/>
      <c r="W22" s="9">
        <v>1.0</v>
      </c>
      <c r="X22" s="10" t="s">
        <v>43</v>
      </c>
      <c r="Y22" s="9"/>
      <c r="Z22" s="9"/>
    </row>
    <row r="23">
      <c r="A23" s="9" t="s">
        <v>463</v>
      </c>
      <c r="B23" s="9" t="s">
        <v>47</v>
      </c>
      <c r="C23" s="9">
        <v>172457.0</v>
      </c>
      <c r="D23" s="9" t="s">
        <v>470</v>
      </c>
      <c r="E23" s="9" t="s">
        <v>42</v>
      </c>
      <c r="F23" s="9">
        <v>23.21</v>
      </c>
      <c r="G23" s="9">
        <v>35.63</v>
      </c>
      <c r="H23" s="9">
        <v>12.42</v>
      </c>
      <c r="I23" s="9">
        <v>8.77</v>
      </c>
      <c r="J23" s="9">
        <v>54.0</v>
      </c>
      <c r="K23" s="9">
        <v>51.1</v>
      </c>
      <c r="L23" s="9">
        <v>0.4815</v>
      </c>
      <c r="M23" s="9">
        <v>23.21</v>
      </c>
      <c r="N23" s="9">
        <v>28.55</v>
      </c>
      <c r="O23" s="9">
        <v>0.1481</v>
      </c>
      <c r="P23" s="9">
        <v>0.037</v>
      </c>
      <c r="Q23" s="9">
        <v>0.1851</v>
      </c>
      <c r="R23" s="9">
        <v>0.1481</v>
      </c>
      <c r="S23" s="9">
        <v>0.4074</v>
      </c>
      <c r="T23" s="9" t="b">
        <v>1</v>
      </c>
      <c r="U23" s="9" t="b">
        <v>1</v>
      </c>
      <c r="V23" s="9"/>
      <c r="W23" s="9">
        <v>1.0</v>
      </c>
      <c r="X23" s="10" t="s">
        <v>43</v>
      </c>
      <c r="Y23" s="9"/>
      <c r="Z23" s="9"/>
    </row>
    <row r="24">
      <c r="A24" s="9" t="s">
        <v>432</v>
      </c>
      <c r="B24" s="9" t="s">
        <v>88</v>
      </c>
      <c r="C24" s="9">
        <v>499126.0</v>
      </c>
      <c r="D24" s="9" t="s">
        <v>497</v>
      </c>
      <c r="E24" s="9" t="s">
        <v>51</v>
      </c>
      <c r="F24" s="9">
        <v>7.04</v>
      </c>
      <c r="G24" s="9">
        <v>19.42</v>
      </c>
      <c r="H24" s="9">
        <v>12.38</v>
      </c>
      <c r="I24" s="9">
        <v>3.72</v>
      </c>
      <c r="J24" s="9">
        <v>84.0</v>
      </c>
      <c r="K24" s="9">
        <v>21.91</v>
      </c>
      <c r="L24" s="9">
        <v>0.1429</v>
      </c>
      <c r="M24" s="9">
        <v>11.74</v>
      </c>
      <c r="N24" s="9">
        <v>7.04</v>
      </c>
      <c r="O24" s="9">
        <v>0.0</v>
      </c>
      <c r="P24" s="9">
        <v>0.0278</v>
      </c>
      <c r="Q24" s="9">
        <v>0.0278</v>
      </c>
      <c r="R24" s="9">
        <v>0.3095</v>
      </c>
      <c r="S24" s="9">
        <v>0.369</v>
      </c>
      <c r="T24" s="9" t="b">
        <v>1</v>
      </c>
      <c r="U24" s="9" t="b">
        <v>1</v>
      </c>
      <c r="V24" s="9"/>
      <c r="W24" s="9">
        <v>1.0</v>
      </c>
      <c r="X24" s="10" t="s">
        <v>43</v>
      </c>
      <c r="Y24" s="9"/>
      <c r="Z24" s="9"/>
    </row>
    <row r="25">
      <c r="A25" s="9" t="s">
        <v>521</v>
      </c>
      <c r="B25" s="9" t="s">
        <v>47</v>
      </c>
      <c r="C25" s="9">
        <v>565342.0</v>
      </c>
      <c r="D25" s="9" t="s">
        <v>525</v>
      </c>
      <c r="E25" s="9" t="s">
        <v>51</v>
      </c>
      <c r="F25" s="9">
        <v>8.93</v>
      </c>
      <c r="G25" s="9">
        <v>21.24</v>
      </c>
      <c r="H25" s="9">
        <v>12.31</v>
      </c>
      <c r="I25" s="9">
        <v>4.91</v>
      </c>
      <c r="J25" s="9">
        <v>49.0</v>
      </c>
      <c r="K25" s="9">
        <v>20.66</v>
      </c>
      <c r="L25" s="9">
        <v>0.449</v>
      </c>
      <c r="M25" s="9">
        <v>23.21</v>
      </c>
      <c r="N25" s="9">
        <v>8.93</v>
      </c>
      <c r="O25" s="9">
        <v>0.0051</v>
      </c>
      <c r="P25" s="9">
        <v>0.0204</v>
      </c>
      <c r="Q25" s="9">
        <v>0.0255</v>
      </c>
      <c r="R25" s="9">
        <v>0.2449</v>
      </c>
      <c r="S25" s="9">
        <v>0.3469</v>
      </c>
      <c r="T25" s="9" t="b">
        <v>1</v>
      </c>
      <c r="U25" s="9" t="b">
        <v>1</v>
      </c>
      <c r="V25" s="9"/>
      <c r="W25" s="9">
        <v>1.0</v>
      </c>
      <c r="X25" s="10" t="s">
        <v>43</v>
      </c>
      <c r="Y25" s="9"/>
      <c r="Z25" s="9"/>
    </row>
    <row r="26">
      <c r="A26" s="9" t="s">
        <v>551</v>
      </c>
      <c r="B26" s="9" t="s">
        <v>88</v>
      </c>
      <c r="C26" s="9">
        <v>59060.0</v>
      </c>
      <c r="D26" s="9" t="s">
        <v>555</v>
      </c>
      <c r="E26" s="9" t="s">
        <v>25</v>
      </c>
      <c r="F26" s="9">
        <v>5.62</v>
      </c>
      <c r="G26" s="9">
        <v>17.29</v>
      </c>
      <c r="H26" s="9">
        <v>11.67</v>
      </c>
      <c r="I26" s="9">
        <v>2.14</v>
      </c>
      <c r="J26" s="9">
        <v>76.0</v>
      </c>
      <c r="K26" s="9">
        <v>5.62</v>
      </c>
      <c r="L26" s="9">
        <v>0.9342</v>
      </c>
      <c r="M26" s="9">
        <v>11.74</v>
      </c>
      <c r="N26" s="9">
        <v>9.39</v>
      </c>
      <c r="O26" s="9">
        <v>0.0</v>
      </c>
      <c r="P26" s="9">
        <v>0.0</v>
      </c>
      <c r="Q26" s="9">
        <v>0.0</v>
      </c>
      <c r="R26" s="9">
        <v>0.3553</v>
      </c>
      <c r="S26" s="9">
        <v>0.2105</v>
      </c>
      <c r="T26" s="9" t="b">
        <v>1</v>
      </c>
      <c r="U26" s="9" t="b">
        <v>1</v>
      </c>
      <c r="V26" s="9"/>
      <c r="W26" s="9">
        <v>1.0</v>
      </c>
      <c r="X26" s="10" t="s">
        <v>43</v>
      </c>
      <c r="Y26" s="9"/>
      <c r="Z26" s="9"/>
    </row>
    <row r="27">
      <c r="A27" s="9" t="s">
        <v>551</v>
      </c>
      <c r="B27" s="9" t="s">
        <v>44</v>
      </c>
      <c r="C27" s="9">
        <v>59725.0</v>
      </c>
      <c r="D27" s="9" t="s">
        <v>607</v>
      </c>
      <c r="E27" s="9" t="s">
        <v>25</v>
      </c>
      <c r="F27" s="9">
        <v>6.42</v>
      </c>
      <c r="G27" s="9">
        <v>18.03</v>
      </c>
      <c r="H27" s="9">
        <v>11.61</v>
      </c>
      <c r="I27" s="9">
        <v>2.79</v>
      </c>
      <c r="J27" s="9">
        <v>206.0</v>
      </c>
      <c r="K27" s="9">
        <v>6.42</v>
      </c>
      <c r="L27" s="9">
        <v>1.0</v>
      </c>
      <c r="M27" s="9">
        <v>11.74</v>
      </c>
      <c r="N27" s="9">
        <v>9.15</v>
      </c>
      <c r="O27" s="9">
        <v>0.0</v>
      </c>
      <c r="P27" s="9">
        <v>0.0186</v>
      </c>
      <c r="Q27" s="9">
        <v>0.0186</v>
      </c>
      <c r="R27" s="9">
        <v>0.4806</v>
      </c>
      <c r="S27" s="9">
        <v>0.2282</v>
      </c>
      <c r="T27" s="9" t="b">
        <v>1</v>
      </c>
      <c r="U27" s="9" t="b">
        <v>1</v>
      </c>
      <c r="V27" s="9"/>
      <c r="W27" s="9">
        <v>1.0</v>
      </c>
      <c r="X27" s="10" t="s">
        <v>43</v>
      </c>
      <c r="Y27" s="9"/>
      <c r="Z27" s="9"/>
    </row>
    <row r="28">
      <c r="A28" s="9" t="s">
        <v>86</v>
      </c>
      <c r="B28" s="9" t="s">
        <v>47</v>
      </c>
      <c r="C28" s="9">
        <v>38752.0</v>
      </c>
      <c r="D28" s="9" t="s">
        <v>637</v>
      </c>
      <c r="E28" s="9" t="s">
        <v>51</v>
      </c>
      <c r="F28" s="9">
        <v>7.01</v>
      </c>
      <c r="G28" s="9">
        <v>18.56</v>
      </c>
      <c r="H28" s="9">
        <v>11.55</v>
      </c>
      <c r="I28" s="9">
        <v>11.32</v>
      </c>
      <c r="J28" s="9">
        <v>61.0</v>
      </c>
      <c r="K28" s="9" t="s">
        <v>39</v>
      </c>
      <c r="L28" s="9">
        <v>0.0</v>
      </c>
      <c r="M28" s="9">
        <v>12.79</v>
      </c>
      <c r="N28" s="9">
        <v>7.01</v>
      </c>
      <c r="O28" s="9">
        <v>0.0164</v>
      </c>
      <c r="P28" s="9">
        <v>0.123</v>
      </c>
      <c r="Q28" s="9">
        <v>0.1394</v>
      </c>
      <c r="R28" s="9">
        <v>0.2623</v>
      </c>
      <c r="S28" s="9">
        <v>0.459</v>
      </c>
      <c r="T28" s="9" t="b">
        <v>1</v>
      </c>
      <c r="U28" s="9" t="b">
        <v>1</v>
      </c>
      <c r="V28" s="9"/>
      <c r="W28" s="9">
        <v>1.0</v>
      </c>
      <c r="X28" s="10" t="s">
        <v>43</v>
      </c>
      <c r="Y28" s="9"/>
      <c r="Z28" s="9"/>
    </row>
    <row r="29">
      <c r="A29" s="9" t="s">
        <v>663</v>
      </c>
      <c r="B29" s="9" t="s">
        <v>666</v>
      </c>
      <c r="C29" s="9">
        <v>172842.0</v>
      </c>
      <c r="D29" s="9" t="s">
        <v>669</v>
      </c>
      <c r="E29" s="9" t="s">
        <v>51</v>
      </c>
      <c r="F29" s="9">
        <v>19.85</v>
      </c>
      <c r="G29" s="9">
        <v>31.39</v>
      </c>
      <c r="H29" s="9">
        <v>11.54</v>
      </c>
      <c r="I29" s="9">
        <v>3.6</v>
      </c>
      <c r="J29" s="9">
        <v>513.0</v>
      </c>
      <c r="K29" s="9">
        <v>34.29</v>
      </c>
      <c r="L29" s="9">
        <v>0.0936</v>
      </c>
      <c r="M29" s="9">
        <v>18.91</v>
      </c>
      <c r="N29" s="9">
        <v>19.85</v>
      </c>
      <c r="O29" s="9">
        <v>0.0736</v>
      </c>
      <c r="P29" s="9">
        <v>0.026</v>
      </c>
      <c r="Q29" s="9">
        <v>0.0996</v>
      </c>
      <c r="R29" s="9">
        <v>0.269</v>
      </c>
      <c r="S29" s="9">
        <v>0.3275</v>
      </c>
      <c r="T29" s="9" t="b">
        <v>1</v>
      </c>
      <c r="U29" s="9" t="b">
        <v>1</v>
      </c>
      <c r="V29" s="9"/>
      <c r="W29" s="9">
        <v>1.0</v>
      </c>
      <c r="X29" s="10" t="s">
        <v>43</v>
      </c>
      <c r="Y29" s="9"/>
      <c r="Z29" s="9"/>
    </row>
    <row r="30">
      <c r="A30" s="9" t="s">
        <v>700</v>
      </c>
      <c r="B30" s="9" t="s">
        <v>47</v>
      </c>
      <c r="C30" s="9">
        <v>183636.0</v>
      </c>
      <c r="D30" s="9" t="s">
        <v>704</v>
      </c>
      <c r="E30" s="9" t="s">
        <v>25</v>
      </c>
      <c r="F30" s="9">
        <v>10.36</v>
      </c>
      <c r="G30" s="9">
        <v>21.86</v>
      </c>
      <c r="H30" s="9">
        <v>11.5</v>
      </c>
      <c r="I30" s="9">
        <v>2.47</v>
      </c>
      <c r="J30" s="9">
        <v>29.0</v>
      </c>
      <c r="K30" s="9">
        <v>10.36</v>
      </c>
      <c r="L30" s="9">
        <v>1.0</v>
      </c>
      <c r="M30" s="9">
        <v>17.1</v>
      </c>
      <c r="N30" s="9">
        <v>11.68</v>
      </c>
      <c r="O30" s="9">
        <v>0.0</v>
      </c>
      <c r="P30" s="9">
        <v>0.0</v>
      </c>
      <c r="Q30" s="9">
        <v>0.0</v>
      </c>
      <c r="R30" s="9">
        <v>0.3793</v>
      </c>
      <c r="S30" s="9">
        <v>0.2759</v>
      </c>
      <c r="T30" s="9" t="b">
        <v>1</v>
      </c>
      <c r="U30" s="9" t="b">
        <v>1</v>
      </c>
      <c r="V30" s="9"/>
      <c r="W30" s="9">
        <v>1.0</v>
      </c>
      <c r="X30" s="10" t="s">
        <v>43</v>
      </c>
      <c r="Y30" s="9"/>
      <c r="Z30" s="9"/>
    </row>
    <row r="31">
      <c r="A31" s="9" t="s">
        <v>39</v>
      </c>
      <c r="B31" s="9" t="s">
        <v>666</v>
      </c>
      <c r="C31" s="9">
        <v>65463.0</v>
      </c>
      <c r="D31" s="9" t="s">
        <v>749</v>
      </c>
      <c r="E31" s="9" t="s">
        <v>42</v>
      </c>
      <c r="F31" s="9">
        <v>14.21</v>
      </c>
      <c r="G31" s="9">
        <v>25.36</v>
      </c>
      <c r="H31" s="9">
        <v>11.15</v>
      </c>
      <c r="I31" s="9">
        <v>8.69</v>
      </c>
      <c r="J31" s="9">
        <v>484.0</v>
      </c>
      <c r="K31" s="9">
        <v>34.84</v>
      </c>
      <c r="L31" s="9">
        <v>0.8905</v>
      </c>
      <c r="M31" s="9">
        <v>14.21</v>
      </c>
      <c r="N31" s="9">
        <v>25.36</v>
      </c>
      <c r="O31" s="9">
        <v>0.155</v>
      </c>
      <c r="P31" s="9">
        <v>0.1033</v>
      </c>
      <c r="Q31" s="9">
        <v>0.2583</v>
      </c>
      <c r="R31" s="9">
        <v>0.1839</v>
      </c>
      <c r="S31" s="9">
        <v>0.531</v>
      </c>
      <c r="T31" s="9" t="b">
        <v>1</v>
      </c>
      <c r="U31" s="9" t="b">
        <v>1</v>
      </c>
      <c r="V31" s="9"/>
      <c r="W31" s="9">
        <v>1.0</v>
      </c>
      <c r="X31" s="10" t="s">
        <v>43</v>
      </c>
      <c r="Y31" s="9"/>
      <c r="Z31" s="9"/>
    </row>
    <row r="32">
      <c r="A32" s="9" t="s">
        <v>505</v>
      </c>
      <c r="B32" s="9" t="s">
        <v>47</v>
      </c>
      <c r="C32" s="9">
        <v>529995.0</v>
      </c>
      <c r="D32" s="9" t="s">
        <v>781</v>
      </c>
      <c r="E32" s="9" t="s">
        <v>51</v>
      </c>
      <c r="F32" s="9">
        <v>5.83</v>
      </c>
      <c r="G32" s="9">
        <v>16.94</v>
      </c>
      <c r="H32" s="9">
        <v>11.11</v>
      </c>
      <c r="I32" s="9">
        <v>2.33</v>
      </c>
      <c r="J32" s="9">
        <v>31.0</v>
      </c>
      <c r="K32" s="9">
        <v>21.51</v>
      </c>
      <c r="L32" s="9">
        <v>0.6774</v>
      </c>
      <c r="M32" s="9">
        <v>11.74</v>
      </c>
      <c r="N32" s="9">
        <v>5.83</v>
      </c>
      <c r="O32" s="9">
        <v>0.0161</v>
      </c>
      <c r="P32" s="9">
        <v>0.0</v>
      </c>
      <c r="Q32" s="9">
        <v>0.0161</v>
      </c>
      <c r="R32" s="9">
        <v>0.1613</v>
      </c>
      <c r="S32" s="9">
        <v>0.1613</v>
      </c>
      <c r="T32" s="9" t="b">
        <v>1</v>
      </c>
      <c r="U32" s="9" t="b">
        <v>1</v>
      </c>
      <c r="V32" s="9"/>
      <c r="W32" s="9">
        <v>1.0</v>
      </c>
      <c r="X32" s="10" t="s">
        <v>43</v>
      </c>
      <c r="Y32" s="9"/>
      <c r="Z32" s="9"/>
    </row>
    <row r="33">
      <c r="A33" s="9" t="s">
        <v>551</v>
      </c>
      <c r="B33" s="9" t="s">
        <v>88</v>
      </c>
      <c r="C33" s="9">
        <v>106869.0</v>
      </c>
      <c r="D33" s="9" t="s">
        <v>829</v>
      </c>
      <c r="E33" s="9" t="s">
        <v>51</v>
      </c>
      <c r="F33" s="9">
        <v>9.39</v>
      </c>
      <c r="G33" s="9">
        <v>20.46</v>
      </c>
      <c r="H33" s="9">
        <v>11.07</v>
      </c>
      <c r="I33" s="9">
        <v>2.75</v>
      </c>
      <c r="J33" s="9">
        <v>76.0</v>
      </c>
      <c r="K33" s="9">
        <v>9.51</v>
      </c>
      <c r="L33" s="9">
        <v>1.0</v>
      </c>
      <c r="M33" s="9">
        <v>11.74</v>
      </c>
      <c r="N33" s="9">
        <v>9.39</v>
      </c>
      <c r="O33" s="9">
        <v>0.0</v>
      </c>
      <c r="P33" s="9">
        <v>0.0</v>
      </c>
      <c r="Q33" s="9">
        <v>0.0</v>
      </c>
      <c r="R33" s="9">
        <v>0.3158</v>
      </c>
      <c r="S33" s="9">
        <v>0.3026</v>
      </c>
      <c r="T33" s="9" t="b">
        <v>1</v>
      </c>
      <c r="U33" s="9" t="b">
        <v>1</v>
      </c>
      <c r="V33" s="9"/>
      <c r="W33" s="9">
        <v>1.0</v>
      </c>
      <c r="X33" s="10" t="s">
        <v>43</v>
      </c>
      <c r="Y33" s="9"/>
      <c r="Z33" s="9"/>
    </row>
    <row r="34">
      <c r="A34" s="9" t="s">
        <v>868</v>
      </c>
      <c r="B34" s="9" t="s">
        <v>47</v>
      </c>
      <c r="C34" s="9">
        <v>263454.0</v>
      </c>
      <c r="D34" s="9" t="s">
        <v>873</v>
      </c>
      <c r="E34" s="9" t="s">
        <v>51</v>
      </c>
      <c r="F34" s="9">
        <v>14.12</v>
      </c>
      <c r="G34" s="9">
        <v>25.11</v>
      </c>
      <c r="H34" s="9">
        <v>10.99</v>
      </c>
      <c r="I34" s="9">
        <v>3.73</v>
      </c>
      <c r="J34" s="9">
        <v>35.0</v>
      </c>
      <c r="K34" s="9">
        <v>27.52</v>
      </c>
      <c r="L34" s="9">
        <v>0.9714</v>
      </c>
      <c r="M34" s="9">
        <v>12.79</v>
      </c>
      <c r="N34" s="9">
        <v>14.12</v>
      </c>
      <c r="O34" s="9">
        <v>0.0</v>
      </c>
      <c r="P34" s="9">
        <v>0.0</v>
      </c>
      <c r="Q34" s="9">
        <v>0.0</v>
      </c>
      <c r="R34" s="9">
        <v>0.2</v>
      </c>
      <c r="S34" s="9">
        <v>0.4</v>
      </c>
      <c r="T34" s="9" t="b">
        <v>1</v>
      </c>
      <c r="U34" s="9" t="b">
        <v>1</v>
      </c>
      <c r="V34" s="9"/>
      <c r="W34" s="9">
        <v>1.0</v>
      </c>
      <c r="X34" s="10" t="s">
        <v>43</v>
      </c>
      <c r="Y34" s="9"/>
      <c r="Z34" s="9"/>
    </row>
    <row r="35">
      <c r="A35" s="9" t="s">
        <v>574</v>
      </c>
      <c r="B35" s="9" t="s">
        <v>47</v>
      </c>
      <c r="C35" s="9">
        <v>514125.0</v>
      </c>
      <c r="D35" s="9" t="s">
        <v>916</v>
      </c>
      <c r="E35" s="9" t="s">
        <v>51</v>
      </c>
      <c r="F35" s="9">
        <v>14.23</v>
      </c>
      <c r="G35" s="9">
        <v>25.14</v>
      </c>
      <c r="H35" s="9">
        <v>10.91</v>
      </c>
      <c r="I35" s="9">
        <v>7.01</v>
      </c>
      <c r="J35" s="9">
        <v>28.0</v>
      </c>
      <c r="K35" s="9">
        <v>31.88</v>
      </c>
      <c r="L35" s="9">
        <v>0.8929</v>
      </c>
      <c r="M35" s="9">
        <v>15.42</v>
      </c>
      <c r="N35" s="9">
        <v>14.46</v>
      </c>
      <c r="O35" s="9">
        <v>0.0179</v>
      </c>
      <c r="P35" s="9">
        <v>0.0714</v>
      </c>
      <c r="Q35" s="9">
        <v>0.0893</v>
      </c>
      <c r="R35" s="9">
        <v>0.3571</v>
      </c>
      <c r="S35" s="9">
        <v>0.3929</v>
      </c>
      <c r="T35" s="9" t="b">
        <v>1</v>
      </c>
      <c r="U35" s="9" t="b">
        <v>1</v>
      </c>
      <c r="V35" s="9"/>
      <c r="W35" s="9">
        <v>1.0</v>
      </c>
      <c r="X35" s="10" t="s">
        <v>43</v>
      </c>
      <c r="Y35" s="9"/>
      <c r="Z35" s="9"/>
    </row>
    <row r="36">
      <c r="A36" s="9" t="s">
        <v>956</v>
      </c>
      <c r="B36" s="9" t="s">
        <v>47</v>
      </c>
      <c r="C36" s="9">
        <v>564196.0</v>
      </c>
      <c r="D36" s="9" t="s">
        <v>962</v>
      </c>
      <c r="E36" s="9" t="s">
        <v>965</v>
      </c>
      <c r="F36" s="9">
        <v>10.5</v>
      </c>
      <c r="G36" s="9">
        <v>15.72</v>
      </c>
      <c r="H36" s="9">
        <v>5.22</v>
      </c>
      <c r="I36" s="9">
        <v>2.33</v>
      </c>
      <c r="J36" s="9">
        <v>46.0</v>
      </c>
      <c r="K36" s="9">
        <v>12.23</v>
      </c>
      <c r="L36" s="9">
        <v>0.5</v>
      </c>
      <c r="M36" s="9">
        <v>10.49</v>
      </c>
      <c r="N36" s="9">
        <v>11.17</v>
      </c>
      <c r="O36" s="9">
        <v>0.0054</v>
      </c>
      <c r="P36" s="9">
        <v>0.0</v>
      </c>
      <c r="Q36" s="9">
        <v>0.0054</v>
      </c>
      <c r="R36" s="9">
        <v>0.3696</v>
      </c>
      <c r="S36" s="9">
        <v>0.2391</v>
      </c>
      <c r="T36" s="9" t="b">
        <v>1</v>
      </c>
      <c r="U36" s="9" t="b">
        <v>1</v>
      </c>
      <c r="V36" s="9" t="b">
        <v>1</v>
      </c>
      <c r="W36" s="9">
        <v>1.0</v>
      </c>
      <c r="X36" s="10" t="s">
        <v>43</v>
      </c>
      <c r="Y36" s="9"/>
      <c r="Z36" s="9"/>
    </row>
    <row r="37">
      <c r="A37" s="9" t="s">
        <v>57</v>
      </c>
      <c r="B37" s="9" t="s">
        <v>47</v>
      </c>
      <c r="C37" s="9">
        <v>176943.0</v>
      </c>
      <c r="D37" s="9" t="s">
        <v>1003</v>
      </c>
      <c r="E37" s="9" t="s">
        <v>51</v>
      </c>
      <c r="F37" s="9">
        <v>11.62</v>
      </c>
      <c r="G37" s="9">
        <v>22.38</v>
      </c>
      <c r="H37" s="9">
        <v>10.76</v>
      </c>
      <c r="I37" s="9">
        <v>6.53</v>
      </c>
      <c r="J37" s="9">
        <v>39.0</v>
      </c>
      <c r="K37" s="9">
        <v>19.81</v>
      </c>
      <c r="L37" s="9">
        <v>0.0769</v>
      </c>
      <c r="M37" s="9">
        <v>14.44</v>
      </c>
      <c r="N37" s="9">
        <v>11.71</v>
      </c>
      <c r="O37" s="9">
        <v>0.0192</v>
      </c>
      <c r="P37" s="9">
        <v>0.0256</v>
      </c>
      <c r="Q37" s="9">
        <v>0.0448</v>
      </c>
      <c r="R37" s="9">
        <v>0.2051</v>
      </c>
      <c r="S37" s="9">
        <v>0.5385</v>
      </c>
      <c r="T37" s="9" t="b">
        <v>1</v>
      </c>
      <c r="U37" s="9" t="b">
        <v>1</v>
      </c>
      <c r="V37" s="9"/>
      <c r="W37" s="9">
        <v>1.0</v>
      </c>
      <c r="X37" s="10" t="s">
        <v>43</v>
      </c>
      <c r="Y37" s="9"/>
      <c r="Z37" s="9"/>
    </row>
    <row r="38">
      <c r="A38" s="9" t="s">
        <v>1038</v>
      </c>
      <c r="B38" s="9" t="s">
        <v>47</v>
      </c>
      <c r="C38" s="9">
        <v>325354.0</v>
      </c>
      <c r="D38" s="9" t="s">
        <v>1043</v>
      </c>
      <c r="E38" s="9" t="s">
        <v>42</v>
      </c>
      <c r="F38" s="9">
        <v>14.21</v>
      </c>
      <c r="G38" s="9">
        <v>24.93</v>
      </c>
      <c r="H38" s="9">
        <v>10.72</v>
      </c>
      <c r="I38" s="9">
        <v>5.3</v>
      </c>
      <c r="J38" s="9">
        <v>46.0</v>
      </c>
      <c r="K38" s="9" t="s">
        <v>39</v>
      </c>
      <c r="L38" s="9">
        <v>0.0</v>
      </c>
      <c r="M38" s="9">
        <v>14.21</v>
      </c>
      <c r="N38" s="9">
        <v>16.63</v>
      </c>
      <c r="O38" s="9">
        <v>0.1739</v>
      </c>
      <c r="P38" s="9">
        <v>0.0217</v>
      </c>
      <c r="Q38" s="9">
        <v>0.1956</v>
      </c>
      <c r="R38" s="9">
        <v>0.087</v>
      </c>
      <c r="S38" s="9">
        <v>0.5217</v>
      </c>
      <c r="T38" s="9" t="b">
        <v>1</v>
      </c>
      <c r="U38" s="9" t="b">
        <v>1</v>
      </c>
      <c r="V38" s="9"/>
      <c r="W38" s="9">
        <v>1.0</v>
      </c>
      <c r="X38" s="10" t="s">
        <v>43</v>
      </c>
      <c r="Y38" s="9"/>
      <c r="Z38" s="9"/>
    </row>
    <row r="39">
      <c r="A39" s="9" t="s">
        <v>39</v>
      </c>
      <c r="B39" s="9" t="s">
        <v>47</v>
      </c>
      <c r="C39" s="9">
        <v>546716.0</v>
      </c>
      <c r="D39" s="9" t="s">
        <v>1076</v>
      </c>
      <c r="E39" s="9" t="s">
        <v>25</v>
      </c>
      <c r="F39" s="9">
        <v>14.38</v>
      </c>
      <c r="G39" s="9">
        <v>25.02</v>
      </c>
      <c r="H39" s="9">
        <v>10.64</v>
      </c>
      <c r="I39" s="9">
        <v>0.31</v>
      </c>
      <c r="J39" s="9">
        <v>46.0</v>
      </c>
      <c r="K39" s="9">
        <v>14.38</v>
      </c>
      <c r="L39" s="9">
        <v>1.0</v>
      </c>
      <c r="M39" s="9">
        <v>23.21</v>
      </c>
      <c r="N39" s="9">
        <v>25.02</v>
      </c>
      <c r="O39" s="9">
        <v>0.0</v>
      </c>
      <c r="P39" s="9">
        <v>0.0</v>
      </c>
      <c r="Q39" s="9">
        <v>0.0</v>
      </c>
      <c r="R39" s="9">
        <v>0.9348</v>
      </c>
      <c r="S39" s="9">
        <v>0.0217</v>
      </c>
      <c r="T39" s="9" t="b">
        <v>1</v>
      </c>
      <c r="U39" s="9" t="b">
        <v>1</v>
      </c>
      <c r="V39" s="9"/>
      <c r="W39" s="9">
        <v>1.0</v>
      </c>
      <c r="X39" s="10" t="s">
        <v>43</v>
      </c>
      <c r="Y39" s="9"/>
      <c r="Z39" s="9"/>
    </row>
    <row r="40">
      <c r="A40" s="9" t="s">
        <v>217</v>
      </c>
      <c r="B40" s="9" t="s">
        <v>47</v>
      </c>
      <c r="C40" s="9">
        <v>497560.0</v>
      </c>
      <c r="D40" s="9" t="s">
        <v>1102</v>
      </c>
      <c r="E40" s="9" t="s">
        <v>42</v>
      </c>
      <c r="F40" s="9">
        <v>14.21</v>
      </c>
      <c r="G40" s="9">
        <v>24.57</v>
      </c>
      <c r="H40" s="9">
        <v>10.36</v>
      </c>
      <c r="I40" s="9">
        <v>4.31</v>
      </c>
      <c r="J40" s="9">
        <v>56.0</v>
      </c>
      <c r="K40" s="9">
        <v>18.97</v>
      </c>
      <c r="L40" s="9">
        <v>0.0179</v>
      </c>
      <c r="M40" s="9">
        <v>14.21</v>
      </c>
      <c r="N40" s="9">
        <v>16.04</v>
      </c>
      <c r="O40" s="9">
        <v>0.1786</v>
      </c>
      <c r="P40" s="9">
        <v>0.0179</v>
      </c>
      <c r="Q40" s="9">
        <v>0.1965</v>
      </c>
      <c r="R40" s="9">
        <v>0.25</v>
      </c>
      <c r="S40" s="9">
        <v>0.4107</v>
      </c>
      <c r="T40" s="9" t="b">
        <v>1</v>
      </c>
      <c r="U40" s="9" t="b">
        <v>1</v>
      </c>
      <c r="V40" s="9"/>
      <c r="W40" s="9">
        <v>1.0</v>
      </c>
      <c r="X40" s="10" t="s">
        <v>43</v>
      </c>
      <c r="Y40" s="9"/>
      <c r="Z40" s="9"/>
    </row>
    <row r="41">
      <c r="A41" s="9" t="s">
        <v>551</v>
      </c>
      <c r="B41" s="9" t="s">
        <v>88</v>
      </c>
      <c r="C41" s="9">
        <v>52577.0</v>
      </c>
      <c r="D41" s="9" t="s">
        <v>1127</v>
      </c>
      <c r="E41" s="9" t="s">
        <v>25</v>
      </c>
      <c r="F41" s="9">
        <v>9.02</v>
      </c>
      <c r="G41" s="9">
        <v>19.35</v>
      </c>
      <c r="H41" s="9">
        <v>10.33</v>
      </c>
      <c r="I41" s="9">
        <v>2.97</v>
      </c>
      <c r="J41" s="9">
        <v>156.0</v>
      </c>
      <c r="K41" s="9">
        <v>9.02</v>
      </c>
      <c r="L41" s="9">
        <v>0.9551</v>
      </c>
      <c r="M41" s="9">
        <v>11.74</v>
      </c>
      <c r="N41" s="9">
        <v>9.39</v>
      </c>
      <c r="O41" s="9">
        <v>0.0096</v>
      </c>
      <c r="P41" s="9">
        <v>0.0075</v>
      </c>
      <c r="Q41" s="9">
        <v>0.0171</v>
      </c>
      <c r="R41" s="9">
        <v>0.3397</v>
      </c>
      <c r="S41" s="9">
        <v>0.2244</v>
      </c>
      <c r="T41" s="9" t="b">
        <v>1</v>
      </c>
      <c r="U41" s="9" t="b">
        <v>1</v>
      </c>
      <c r="V41" s="9"/>
      <c r="W41" s="9">
        <v>1.0</v>
      </c>
      <c r="X41" s="10" t="s">
        <v>43</v>
      </c>
      <c r="Y41" s="9"/>
      <c r="Z41" s="9"/>
    </row>
    <row r="42">
      <c r="A42" s="9" t="s">
        <v>432</v>
      </c>
      <c r="B42" s="9" t="s">
        <v>47</v>
      </c>
      <c r="C42" s="9">
        <v>62714.0</v>
      </c>
      <c r="D42" s="9" t="s">
        <v>1166</v>
      </c>
      <c r="E42" s="9" t="s">
        <v>51</v>
      </c>
      <c r="F42" s="9">
        <v>7.88</v>
      </c>
      <c r="G42" s="9">
        <v>18.18</v>
      </c>
      <c r="H42" s="9">
        <v>10.3</v>
      </c>
      <c r="I42" s="9">
        <v>5.71</v>
      </c>
      <c r="J42" s="9">
        <v>44.0</v>
      </c>
      <c r="K42" s="9" t="s">
        <v>39</v>
      </c>
      <c r="L42" s="9">
        <v>0.0</v>
      </c>
      <c r="M42" s="9">
        <v>11.74</v>
      </c>
      <c r="N42" s="9">
        <v>7.88</v>
      </c>
      <c r="O42" s="9">
        <v>0.0114</v>
      </c>
      <c r="P42" s="9">
        <v>0.0</v>
      </c>
      <c r="Q42" s="9">
        <v>0.0114</v>
      </c>
      <c r="R42" s="9">
        <v>0.0682</v>
      </c>
      <c r="S42" s="9">
        <v>0.5227</v>
      </c>
      <c r="T42" s="9" t="b">
        <v>1</v>
      </c>
      <c r="U42" s="9" t="b">
        <v>1</v>
      </c>
      <c r="V42" s="9"/>
      <c r="W42" s="9">
        <v>1.0</v>
      </c>
      <c r="X42" s="10" t="s">
        <v>43</v>
      </c>
      <c r="Y42" s="9"/>
      <c r="Z42" s="9"/>
    </row>
    <row r="43">
      <c r="A43" s="9" t="s">
        <v>956</v>
      </c>
      <c r="B43" s="9" t="s">
        <v>88</v>
      </c>
      <c r="C43" s="9">
        <v>564157.0</v>
      </c>
      <c r="D43" s="9" t="s">
        <v>1210</v>
      </c>
      <c r="E43" s="9" t="s">
        <v>25</v>
      </c>
      <c r="F43" s="9">
        <v>8.67</v>
      </c>
      <c r="G43" s="9">
        <v>17.1</v>
      </c>
      <c r="H43" s="9">
        <v>8.43</v>
      </c>
      <c r="I43" s="9">
        <v>5.26</v>
      </c>
      <c r="J43" s="9">
        <v>90.0</v>
      </c>
      <c r="K43" s="9">
        <v>8.67</v>
      </c>
      <c r="L43" s="9">
        <v>0.6556</v>
      </c>
      <c r="M43" s="9">
        <v>10.49</v>
      </c>
      <c r="N43" s="9">
        <v>10.49</v>
      </c>
      <c r="O43" s="9">
        <v>0.0111</v>
      </c>
      <c r="P43" s="9">
        <v>0.0444</v>
      </c>
      <c r="Q43" s="9">
        <v>0.0555</v>
      </c>
      <c r="R43" s="9">
        <v>0.4222</v>
      </c>
      <c r="S43" s="9">
        <v>0.2889</v>
      </c>
      <c r="T43" s="9" t="b">
        <v>1</v>
      </c>
      <c r="U43" s="9" t="b">
        <v>1</v>
      </c>
      <c r="V43" s="9" t="b">
        <v>1</v>
      </c>
      <c r="W43" s="9">
        <v>1.0</v>
      </c>
      <c r="X43" s="10" t="s">
        <v>43</v>
      </c>
      <c r="Y43" s="9"/>
      <c r="Z43" s="9"/>
    </row>
    <row r="44">
      <c r="A44" s="9" t="s">
        <v>39</v>
      </c>
      <c r="B44" s="9" t="s">
        <v>88</v>
      </c>
      <c r="C44" s="9">
        <v>327489.0</v>
      </c>
      <c r="D44" s="9" t="s">
        <v>1257</v>
      </c>
      <c r="E44" s="9" t="s">
        <v>25</v>
      </c>
      <c r="F44" s="9">
        <v>5.6</v>
      </c>
      <c r="G44" s="9">
        <v>15.63</v>
      </c>
      <c r="H44" s="9">
        <v>10.03</v>
      </c>
      <c r="I44" s="9">
        <v>0.55</v>
      </c>
      <c r="J44" s="9">
        <v>97.0</v>
      </c>
      <c r="K44" s="9">
        <v>5.6</v>
      </c>
      <c r="L44" s="9">
        <v>0.6804</v>
      </c>
      <c r="M44" s="9">
        <v>14.21</v>
      </c>
      <c r="N44" s="9">
        <v>15.63</v>
      </c>
      <c r="O44" s="9">
        <v>0.0</v>
      </c>
      <c r="P44" s="9">
        <v>0.0</v>
      </c>
      <c r="Q44" s="9">
        <v>0.0</v>
      </c>
      <c r="R44" s="9">
        <v>0.6804</v>
      </c>
      <c r="S44" s="9">
        <v>0.0412</v>
      </c>
      <c r="T44" s="9" t="b">
        <v>1</v>
      </c>
      <c r="U44" s="9" t="b">
        <v>1</v>
      </c>
      <c r="V44" s="9"/>
      <c r="W44" s="9">
        <v>1.0</v>
      </c>
      <c r="X44" s="10" t="s">
        <v>43</v>
      </c>
      <c r="Y44" s="9"/>
      <c r="Z44" s="9"/>
    </row>
    <row r="45">
      <c r="A45" s="9" t="s">
        <v>790</v>
      </c>
      <c r="B45" s="9" t="s">
        <v>47</v>
      </c>
      <c r="C45" s="9">
        <v>613675.0</v>
      </c>
      <c r="D45" s="9" t="s">
        <v>1316</v>
      </c>
      <c r="E45" s="9" t="s">
        <v>25</v>
      </c>
      <c r="F45" s="9">
        <v>10.11</v>
      </c>
      <c r="G45" s="9">
        <v>20.0</v>
      </c>
      <c r="H45" s="9">
        <v>9.89</v>
      </c>
      <c r="I45" s="9">
        <v>4.45</v>
      </c>
      <c r="J45" s="9">
        <v>27.0</v>
      </c>
      <c r="K45" s="9">
        <v>10.11</v>
      </c>
      <c r="L45" s="9">
        <v>1.0</v>
      </c>
      <c r="M45" s="9">
        <v>14.21</v>
      </c>
      <c r="N45" s="9">
        <v>11.03</v>
      </c>
      <c r="O45" s="9">
        <v>0.0741</v>
      </c>
      <c r="P45" s="9">
        <v>0.0</v>
      </c>
      <c r="Q45" s="9">
        <v>0.0741</v>
      </c>
      <c r="R45" s="9">
        <v>0.2222</v>
      </c>
      <c r="S45" s="9">
        <v>0.2963</v>
      </c>
      <c r="T45" s="9" t="b">
        <v>1</v>
      </c>
      <c r="U45" s="9" t="b">
        <v>1</v>
      </c>
      <c r="V45" s="9"/>
      <c r="W45" s="9">
        <v>1.0</v>
      </c>
      <c r="X45" s="10" t="s">
        <v>43</v>
      </c>
      <c r="Y45" s="9"/>
      <c r="Z45" s="9"/>
    </row>
    <row r="46">
      <c r="A46" s="9" t="s">
        <v>432</v>
      </c>
      <c r="B46" s="9" t="s">
        <v>47</v>
      </c>
      <c r="C46" s="9">
        <v>47138.0</v>
      </c>
      <c r="D46" s="9" t="s">
        <v>1354</v>
      </c>
      <c r="E46" s="9" t="s">
        <v>51</v>
      </c>
      <c r="F46" s="9">
        <v>7.88</v>
      </c>
      <c r="G46" s="9">
        <v>17.67</v>
      </c>
      <c r="H46" s="9">
        <v>9.79</v>
      </c>
      <c r="I46" s="9">
        <v>5.78</v>
      </c>
      <c r="J46" s="9">
        <v>39.0</v>
      </c>
      <c r="K46" s="9" t="s">
        <v>39</v>
      </c>
      <c r="L46" s="9">
        <v>0.0</v>
      </c>
      <c r="M46" s="9">
        <v>11.74</v>
      </c>
      <c r="N46" s="9">
        <v>7.88</v>
      </c>
      <c r="O46" s="9">
        <v>0.0</v>
      </c>
      <c r="P46" s="9">
        <v>0.0641</v>
      </c>
      <c r="Q46" s="9">
        <v>0.0641</v>
      </c>
      <c r="R46" s="9">
        <v>0.1538</v>
      </c>
      <c r="S46" s="9">
        <v>0.359</v>
      </c>
      <c r="T46" s="9" t="b">
        <v>1</v>
      </c>
      <c r="U46" s="9" t="b">
        <v>1</v>
      </c>
      <c r="V46" s="9"/>
      <c r="W46" s="9">
        <v>1.0</v>
      </c>
      <c r="X46" s="10" t="s">
        <v>43</v>
      </c>
      <c r="Y46" s="9"/>
      <c r="Z46" s="9"/>
    </row>
    <row r="47">
      <c r="A47" s="9" t="s">
        <v>86</v>
      </c>
      <c r="B47" s="9" t="s">
        <v>47</v>
      </c>
      <c r="C47" s="9">
        <v>335169.0</v>
      </c>
      <c r="D47" s="9" t="s">
        <v>77</v>
      </c>
      <c r="E47" s="9" t="s">
        <v>51</v>
      </c>
      <c r="F47" s="9">
        <v>7.01</v>
      </c>
      <c r="G47" s="9">
        <v>16.76</v>
      </c>
      <c r="H47" s="9">
        <v>9.75</v>
      </c>
      <c r="I47" s="9">
        <v>4.12</v>
      </c>
      <c r="J47" s="9">
        <v>42.0</v>
      </c>
      <c r="K47" s="9" t="s">
        <v>39</v>
      </c>
      <c r="L47" s="9">
        <v>0.0</v>
      </c>
      <c r="M47" s="9">
        <v>12.79</v>
      </c>
      <c r="N47" s="9">
        <v>7.01</v>
      </c>
      <c r="O47" s="9">
        <v>0.0</v>
      </c>
      <c r="P47" s="9">
        <v>0.0238</v>
      </c>
      <c r="Q47" s="9">
        <v>0.0238</v>
      </c>
      <c r="R47" s="9">
        <v>0.0952</v>
      </c>
      <c r="S47" s="9">
        <v>0.3095</v>
      </c>
      <c r="T47" s="9" t="b">
        <v>1</v>
      </c>
      <c r="U47" s="9" t="b">
        <v>1</v>
      </c>
      <c r="V47" s="9"/>
      <c r="W47" s="9">
        <v>1.0</v>
      </c>
      <c r="X47" s="10" t="s">
        <v>43</v>
      </c>
      <c r="Y47" s="9"/>
      <c r="Z47" s="9"/>
    </row>
    <row r="48">
      <c r="A48" s="9" t="s">
        <v>551</v>
      </c>
      <c r="B48" s="9" t="s">
        <v>88</v>
      </c>
      <c r="C48" s="9">
        <v>68202.0</v>
      </c>
      <c r="D48" s="9" t="s">
        <v>1418</v>
      </c>
      <c r="E48" s="9" t="s">
        <v>51</v>
      </c>
      <c r="F48" s="9">
        <v>9.39</v>
      </c>
      <c r="G48" s="9">
        <v>19.11</v>
      </c>
      <c r="H48" s="9">
        <v>9.72</v>
      </c>
      <c r="I48" s="9">
        <v>3.0</v>
      </c>
      <c r="J48" s="9">
        <v>131.0</v>
      </c>
      <c r="K48" s="9">
        <v>10.75</v>
      </c>
      <c r="L48" s="9">
        <v>0.9924</v>
      </c>
      <c r="M48" s="9">
        <v>11.74</v>
      </c>
      <c r="N48" s="9">
        <v>9.39</v>
      </c>
      <c r="O48" s="9">
        <v>0.0038</v>
      </c>
      <c r="P48" s="9">
        <v>0.0</v>
      </c>
      <c r="Q48" s="9">
        <v>0.0038</v>
      </c>
      <c r="R48" s="9">
        <v>0.2443</v>
      </c>
      <c r="S48" s="9">
        <v>0.2595</v>
      </c>
      <c r="T48" s="9" t="b">
        <v>1</v>
      </c>
      <c r="U48" s="9" t="b">
        <v>1</v>
      </c>
      <c r="V48" s="9"/>
      <c r="W48" s="9">
        <v>1.0</v>
      </c>
      <c r="X48" s="10" t="s">
        <v>43</v>
      </c>
      <c r="Y48" s="9"/>
      <c r="Z48" s="9"/>
    </row>
    <row r="49">
      <c r="A49" s="9" t="s">
        <v>52</v>
      </c>
      <c r="B49" s="9" t="s">
        <v>47</v>
      </c>
      <c r="C49" s="9">
        <v>609556.0</v>
      </c>
      <c r="D49" s="9" t="s">
        <v>1451</v>
      </c>
      <c r="E49" s="9" t="s">
        <v>51</v>
      </c>
      <c r="F49" s="9">
        <v>15.8</v>
      </c>
      <c r="G49" s="9">
        <v>25.5</v>
      </c>
      <c r="H49" s="9">
        <v>9.7</v>
      </c>
      <c r="I49" s="9">
        <v>9.91</v>
      </c>
      <c r="J49" s="9">
        <v>28.0</v>
      </c>
      <c r="K49" s="9">
        <v>35.79</v>
      </c>
      <c r="L49" s="9">
        <v>0.7143</v>
      </c>
      <c r="M49" s="9">
        <v>23.21</v>
      </c>
      <c r="N49" s="9">
        <v>15.8</v>
      </c>
      <c r="O49" s="9">
        <v>0.0</v>
      </c>
      <c r="P49" s="9">
        <v>0.0595</v>
      </c>
      <c r="Q49" s="9">
        <v>0.0595</v>
      </c>
      <c r="R49" s="9">
        <v>0.1429</v>
      </c>
      <c r="S49" s="9">
        <v>0.5357</v>
      </c>
      <c r="T49" s="9" t="b">
        <v>1</v>
      </c>
      <c r="U49" s="9" t="b">
        <v>1</v>
      </c>
      <c r="V49" s="9"/>
      <c r="W49" s="9">
        <v>1.0</v>
      </c>
      <c r="X49" s="10" t="s">
        <v>43</v>
      </c>
      <c r="Y49" s="9"/>
      <c r="Z49" s="9"/>
    </row>
    <row r="50">
      <c r="A50" s="9" t="s">
        <v>39</v>
      </c>
      <c r="B50" s="9" t="s">
        <v>47</v>
      </c>
      <c r="C50" s="9">
        <v>127845.0</v>
      </c>
      <c r="D50" s="9" t="s">
        <v>1484</v>
      </c>
      <c r="E50" s="9" t="s">
        <v>42</v>
      </c>
      <c r="F50" s="9">
        <v>14.21</v>
      </c>
      <c r="G50" s="9">
        <v>23.82</v>
      </c>
      <c r="H50" s="9">
        <v>9.61</v>
      </c>
      <c r="I50" s="9">
        <v>4.13</v>
      </c>
      <c r="J50" s="9">
        <v>61.0</v>
      </c>
      <c r="K50" s="9">
        <v>27.31</v>
      </c>
      <c r="L50" s="9">
        <v>0.5082</v>
      </c>
      <c r="M50" s="9">
        <v>14.21</v>
      </c>
      <c r="N50" s="9">
        <v>23.82</v>
      </c>
      <c r="O50" s="9">
        <v>0.1066</v>
      </c>
      <c r="P50" s="9">
        <v>0.0</v>
      </c>
      <c r="Q50" s="9">
        <v>0.1066</v>
      </c>
      <c r="R50" s="9">
        <v>0.1803</v>
      </c>
      <c r="S50" s="9">
        <v>0.3443</v>
      </c>
      <c r="T50" s="9" t="b">
        <v>1</v>
      </c>
      <c r="U50" s="9" t="b">
        <v>1</v>
      </c>
      <c r="V50" s="9"/>
      <c r="W50" s="9">
        <v>1.0</v>
      </c>
      <c r="X50" s="10" t="s">
        <v>43</v>
      </c>
      <c r="Y50" s="9"/>
      <c r="Z50" s="9"/>
    </row>
    <row r="51">
      <c r="A51" s="9" t="s">
        <v>432</v>
      </c>
      <c r="B51" s="9" t="s">
        <v>47</v>
      </c>
      <c r="C51" s="9">
        <v>119308.0</v>
      </c>
      <c r="D51" s="9" t="s">
        <v>1514</v>
      </c>
      <c r="E51" s="9" t="s">
        <v>51</v>
      </c>
      <c r="F51" s="9">
        <v>7.88</v>
      </c>
      <c r="G51" s="9">
        <v>17.41</v>
      </c>
      <c r="H51" s="9">
        <v>9.53</v>
      </c>
      <c r="I51" s="9">
        <v>4.67</v>
      </c>
      <c r="J51" s="9">
        <v>34.0</v>
      </c>
      <c r="K51" s="9" t="s">
        <v>39</v>
      </c>
      <c r="L51" s="9">
        <v>0.0</v>
      </c>
      <c r="M51" s="9">
        <v>11.74</v>
      </c>
      <c r="N51" s="9">
        <v>7.88</v>
      </c>
      <c r="O51" s="9">
        <v>0.0</v>
      </c>
      <c r="P51" s="9">
        <v>0.0</v>
      </c>
      <c r="Q51" s="9">
        <v>0.0</v>
      </c>
      <c r="R51" s="9">
        <v>0.0882</v>
      </c>
      <c r="S51" s="9">
        <v>0.5</v>
      </c>
      <c r="T51" s="9" t="b">
        <v>1</v>
      </c>
      <c r="U51" s="9" t="b">
        <v>1</v>
      </c>
      <c r="V51" s="9"/>
      <c r="W51" s="9">
        <v>1.0</v>
      </c>
      <c r="X51" s="10" t="s">
        <v>43</v>
      </c>
      <c r="Y51" s="9"/>
      <c r="Z51" s="9"/>
    </row>
    <row r="52">
      <c r="A52" s="9" t="s">
        <v>49</v>
      </c>
      <c r="B52" s="9" t="s">
        <v>47</v>
      </c>
      <c r="C52" s="9">
        <v>623564.0</v>
      </c>
      <c r="D52" s="9" t="s">
        <v>1544</v>
      </c>
      <c r="E52" s="9" t="s">
        <v>51</v>
      </c>
      <c r="F52" s="9">
        <v>10.9</v>
      </c>
      <c r="G52" s="9">
        <v>20.42</v>
      </c>
      <c r="H52" s="9">
        <v>9.52</v>
      </c>
      <c r="I52" s="9">
        <v>2.68</v>
      </c>
      <c r="J52" s="9">
        <v>36.0</v>
      </c>
      <c r="K52" s="9">
        <v>42.66</v>
      </c>
      <c r="L52" s="9">
        <v>0.0833</v>
      </c>
      <c r="M52" s="9">
        <v>11.74</v>
      </c>
      <c r="N52" s="9">
        <v>10.9</v>
      </c>
      <c r="O52" s="9">
        <v>0.0</v>
      </c>
      <c r="P52" s="9">
        <v>0.0</v>
      </c>
      <c r="Q52" s="9">
        <v>0.0</v>
      </c>
      <c r="R52" s="9">
        <v>0.1944</v>
      </c>
      <c r="S52" s="9">
        <v>0.1389</v>
      </c>
      <c r="T52" s="9" t="b">
        <v>1</v>
      </c>
      <c r="U52" s="9" t="b">
        <v>1</v>
      </c>
      <c r="V52" s="9"/>
      <c r="W52" s="9">
        <v>1.0</v>
      </c>
      <c r="X52" s="10" t="s">
        <v>43</v>
      </c>
      <c r="Y52" s="9"/>
      <c r="Z52" s="9"/>
    </row>
    <row r="53">
      <c r="A53" s="9" t="s">
        <v>432</v>
      </c>
      <c r="B53" s="9" t="s">
        <v>47</v>
      </c>
      <c r="C53" s="9">
        <v>42007.0</v>
      </c>
      <c r="D53" s="9" t="s">
        <v>1577</v>
      </c>
      <c r="E53" s="9" t="s">
        <v>51</v>
      </c>
      <c r="F53" s="9">
        <v>7.88</v>
      </c>
      <c r="G53" s="9">
        <v>17.36</v>
      </c>
      <c r="H53" s="9">
        <v>9.48</v>
      </c>
      <c r="I53" s="9">
        <v>2.16</v>
      </c>
      <c r="J53" s="9">
        <v>36.0</v>
      </c>
      <c r="K53" s="9">
        <v>10.65</v>
      </c>
      <c r="L53" s="9">
        <v>0.2778</v>
      </c>
      <c r="M53" s="9">
        <v>11.74</v>
      </c>
      <c r="N53" s="9">
        <v>7.88</v>
      </c>
      <c r="O53" s="9">
        <v>0.0</v>
      </c>
      <c r="P53" s="9">
        <v>0.0</v>
      </c>
      <c r="Q53" s="9">
        <v>0.0</v>
      </c>
      <c r="R53" s="9">
        <v>0.4167</v>
      </c>
      <c r="S53" s="9">
        <v>0.25</v>
      </c>
      <c r="T53" s="9" t="b">
        <v>1</v>
      </c>
      <c r="U53" s="9" t="b">
        <v>1</v>
      </c>
      <c r="V53" s="9"/>
      <c r="W53" s="9">
        <v>1.0</v>
      </c>
      <c r="X53" s="10" t="s">
        <v>43</v>
      </c>
      <c r="Y53" s="9"/>
      <c r="Z53" s="9"/>
    </row>
    <row r="54">
      <c r="A54" s="9" t="s">
        <v>551</v>
      </c>
      <c r="B54" s="9" t="s">
        <v>88</v>
      </c>
      <c r="C54" s="9">
        <v>89222.0</v>
      </c>
      <c r="D54" s="9" t="s">
        <v>1599</v>
      </c>
      <c r="E54" s="9" t="s">
        <v>51</v>
      </c>
      <c r="F54" s="9">
        <v>9.39</v>
      </c>
      <c r="G54" s="9">
        <v>18.76</v>
      </c>
      <c r="H54" s="9">
        <v>9.37</v>
      </c>
      <c r="I54" s="9">
        <v>5.43</v>
      </c>
      <c r="J54" s="9">
        <v>116.0</v>
      </c>
      <c r="K54" s="9">
        <v>10.86</v>
      </c>
      <c r="L54" s="9">
        <v>0.9914</v>
      </c>
      <c r="M54" s="9">
        <v>11.74</v>
      </c>
      <c r="N54" s="9">
        <v>9.39</v>
      </c>
      <c r="O54" s="9">
        <v>0.0086</v>
      </c>
      <c r="P54" s="9">
        <v>0.0575</v>
      </c>
      <c r="Q54" s="9">
        <v>0.0661</v>
      </c>
      <c r="R54" s="9">
        <v>0.2328</v>
      </c>
      <c r="S54" s="9">
        <v>0.4397</v>
      </c>
      <c r="T54" s="9" t="b">
        <v>1</v>
      </c>
      <c r="U54" s="9" t="b">
        <v>1</v>
      </c>
      <c r="V54" s="9"/>
      <c r="W54" s="9">
        <v>1.0</v>
      </c>
      <c r="X54" s="10" t="s">
        <v>43</v>
      </c>
      <c r="Y54" s="9"/>
      <c r="Z54" s="9"/>
    </row>
    <row r="55">
      <c r="A55" s="9" t="s">
        <v>551</v>
      </c>
      <c r="B55" s="9" t="s">
        <v>47</v>
      </c>
      <c r="C55" s="9">
        <v>59719.0</v>
      </c>
      <c r="D55" s="9" t="s">
        <v>1621</v>
      </c>
      <c r="E55" s="9" t="s">
        <v>25</v>
      </c>
      <c r="F55" s="9">
        <v>7.62</v>
      </c>
      <c r="G55" s="9">
        <v>16.89</v>
      </c>
      <c r="H55" s="9">
        <v>9.27</v>
      </c>
      <c r="I55" s="9">
        <v>3.23</v>
      </c>
      <c r="J55" s="9">
        <v>63.0</v>
      </c>
      <c r="K55" s="9">
        <v>7.62</v>
      </c>
      <c r="L55" s="9">
        <v>0.9841</v>
      </c>
      <c r="M55" s="9">
        <v>11.74</v>
      </c>
      <c r="N55" s="9">
        <v>8.79</v>
      </c>
      <c r="O55" s="9">
        <v>0.0</v>
      </c>
      <c r="P55" s="9">
        <v>0.0</v>
      </c>
      <c r="Q55" s="9">
        <v>0.0</v>
      </c>
      <c r="R55" s="9">
        <v>0.2063</v>
      </c>
      <c r="S55" s="9">
        <v>0.2698</v>
      </c>
      <c r="T55" s="9" t="b">
        <v>1</v>
      </c>
      <c r="U55" s="9" t="b">
        <v>1</v>
      </c>
      <c r="V55" s="9"/>
      <c r="W55" s="9">
        <v>1.0</v>
      </c>
      <c r="X55" s="10" t="s">
        <v>43</v>
      </c>
      <c r="Y55" s="9"/>
      <c r="Z55" s="9"/>
    </row>
    <row r="56">
      <c r="A56" s="9" t="s">
        <v>258</v>
      </c>
      <c r="B56" s="9" t="s">
        <v>47</v>
      </c>
      <c r="C56" s="9">
        <v>139922.0</v>
      </c>
      <c r="D56" s="9" t="s">
        <v>1642</v>
      </c>
      <c r="E56" s="9" t="s">
        <v>42</v>
      </c>
      <c r="F56" s="9">
        <v>17.64</v>
      </c>
      <c r="G56" s="9">
        <v>26.91</v>
      </c>
      <c r="H56" s="9">
        <v>9.27</v>
      </c>
      <c r="I56" s="9">
        <v>10.23</v>
      </c>
      <c r="J56" s="9">
        <v>67.0</v>
      </c>
      <c r="K56" s="9">
        <v>37.17</v>
      </c>
      <c r="L56" s="9">
        <v>0.806</v>
      </c>
      <c r="M56" s="9">
        <v>17.64</v>
      </c>
      <c r="N56" s="9">
        <v>23.19</v>
      </c>
      <c r="O56" s="9">
        <v>0.1157</v>
      </c>
      <c r="P56" s="9">
        <v>0.1318</v>
      </c>
      <c r="Q56" s="9">
        <v>0.2475</v>
      </c>
      <c r="R56" s="9">
        <v>0.1493</v>
      </c>
      <c r="S56" s="9">
        <v>0.4328</v>
      </c>
      <c r="T56" s="9" t="b">
        <v>1</v>
      </c>
      <c r="U56" s="9" t="b">
        <v>1</v>
      </c>
      <c r="V56" s="9"/>
      <c r="W56" s="9">
        <v>1.0</v>
      </c>
      <c r="X56" s="10" t="s">
        <v>43</v>
      </c>
      <c r="Y56" s="9"/>
      <c r="Z56" s="9"/>
    </row>
    <row r="57">
      <c r="A57" s="9" t="s">
        <v>551</v>
      </c>
      <c r="B57" s="9" t="s">
        <v>47</v>
      </c>
      <c r="C57" s="9">
        <v>62979.0</v>
      </c>
      <c r="D57" s="9" t="s">
        <v>1664</v>
      </c>
      <c r="E57" s="9" t="s">
        <v>25</v>
      </c>
      <c r="F57" s="9">
        <v>7.4</v>
      </c>
      <c r="G57" s="9">
        <v>16.61</v>
      </c>
      <c r="H57" s="9">
        <v>9.21</v>
      </c>
      <c r="I57" s="9">
        <v>2.43</v>
      </c>
      <c r="J57" s="9">
        <v>64.0</v>
      </c>
      <c r="K57" s="9">
        <v>7.4</v>
      </c>
      <c r="L57" s="9">
        <v>0.9219</v>
      </c>
      <c r="M57" s="9">
        <v>11.74</v>
      </c>
      <c r="N57" s="9">
        <v>8.79</v>
      </c>
      <c r="O57" s="9">
        <v>0.0</v>
      </c>
      <c r="P57" s="9">
        <v>0.0</v>
      </c>
      <c r="Q57" s="9">
        <v>0.0</v>
      </c>
      <c r="R57" s="9">
        <v>0.4844</v>
      </c>
      <c r="S57" s="9">
        <v>0.2344</v>
      </c>
      <c r="T57" s="9" t="b">
        <v>1</v>
      </c>
      <c r="U57" s="9" t="b">
        <v>1</v>
      </c>
      <c r="V57" s="9"/>
      <c r="W57" s="9">
        <v>1.0</v>
      </c>
      <c r="X57" s="10" t="s">
        <v>43</v>
      </c>
      <c r="Y57" s="9"/>
      <c r="Z57" s="9"/>
    </row>
    <row r="58">
      <c r="A58" s="9" t="s">
        <v>1600</v>
      </c>
      <c r="B58" s="9" t="s">
        <v>88</v>
      </c>
      <c r="C58" s="9">
        <v>133605.0</v>
      </c>
      <c r="D58" s="9" t="s">
        <v>1699</v>
      </c>
      <c r="E58" s="9" t="s">
        <v>51</v>
      </c>
      <c r="F58" s="9">
        <v>16.58</v>
      </c>
      <c r="G58" s="9">
        <v>25.74</v>
      </c>
      <c r="H58" s="9">
        <v>9.16</v>
      </c>
      <c r="I58" s="9">
        <v>1.68</v>
      </c>
      <c r="J58" s="9">
        <v>115.0</v>
      </c>
      <c r="K58" s="9" t="s">
        <v>39</v>
      </c>
      <c r="L58" s="9">
        <v>0.0</v>
      </c>
      <c r="M58" s="9">
        <v>18.91</v>
      </c>
      <c r="N58" s="9">
        <v>16.58</v>
      </c>
      <c r="O58" s="9">
        <v>0.0043</v>
      </c>
      <c r="P58" s="9">
        <v>0.0029</v>
      </c>
      <c r="Q58" s="9">
        <v>0.0072</v>
      </c>
      <c r="R58" s="9">
        <v>0.4261</v>
      </c>
      <c r="S58" s="9">
        <v>0.1391</v>
      </c>
      <c r="T58" s="9" t="b">
        <v>1</v>
      </c>
      <c r="U58" s="9" t="b">
        <v>1</v>
      </c>
      <c r="V58" s="9"/>
      <c r="W58" s="9">
        <v>1.0</v>
      </c>
      <c r="X58" s="10" t="s">
        <v>43</v>
      </c>
      <c r="Y58" s="9"/>
      <c r="Z58" s="9"/>
    </row>
    <row r="59">
      <c r="A59" s="9" t="s">
        <v>78</v>
      </c>
      <c r="B59" s="9" t="s">
        <v>47</v>
      </c>
      <c r="C59" s="9">
        <v>228335.0</v>
      </c>
      <c r="D59" s="9" t="s">
        <v>1729</v>
      </c>
      <c r="E59" s="9" t="s">
        <v>51</v>
      </c>
      <c r="F59" s="9">
        <v>12.46</v>
      </c>
      <c r="G59" s="9">
        <v>21.57</v>
      </c>
      <c r="H59" s="9">
        <v>9.11</v>
      </c>
      <c r="I59" s="9">
        <v>4.84</v>
      </c>
      <c r="J59" s="9">
        <v>54.0</v>
      </c>
      <c r="K59" s="9">
        <v>28.07</v>
      </c>
      <c r="L59" s="9">
        <v>0.6111</v>
      </c>
      <c r="M59" s="9">
        <v>23.21</v>
      </c>
      <c r="N59" s="9">
        <v>12.46</v>
      </c>
      <c r="O59" s="9">
        <v>0.0</v>
      </c>
      <c r="P59" s="9">
        <v>0.0185</v>
      </c>
      <c r="Q59" s="9">
        <v>0.0185</v>
      </c>
      <c r="R59" s="9">
        <v>0.0741</v>
      </c>
      <c r="S59" s="9">
        <v>0.3889</v>
      </c>
      <c r="T59" s="9" t="b">
        <v>1</v>
      </c>
      <c r="U59" s="9" t="b">
        <v>1</v>
      </c>
      <c r="V59" s="9"/>
      <c r="W59" s="9">
        <v>1.0</v>
      </c>
      <c r="X59" s="10" t="s">
        <v>43</v>
      </c>
      <c r="Y59" s="9"/>
      <c r="Z59" s="9"/>
    </row>
    <row r="60">
      <c r="A60" s="9" t="s">
        <v>128</v>
      </c>
      <c r="B60" s="9" t="s">
        <v>88</v>
      </c>
      <c r="C60" s="9">
        <v>102287.0</v>
      </c>
      <c r="D60" s="9" t="s">
        <v>1754</v>
      </c>
      <c r="E60" s="9" t="s">
        <v>51</v>
      </c>
      <c r="F60" s="9">
        <v>13.66</v>
      </c>
      <c r="G60" s="9">
        <v>22.74</v>
      </c>
      <c r="H60" s="9">
        <v>9.08</v>
      </c>
      <c r="I60" s="9">
        <v>2.21</v>
      </c>
      <c r="J60" s="9">
        <v>148.0</v>
      </c>
      <c r="K60" s="9">
        <v>26.47</v>
      </c>
      <c r="L60" s="9">
        <v>0.1216</v>
      </c>
      <c r="M60" s="9">
        <v>11.74</v>
      </c>
      <c r="N60" s="9">
        <v>13.66</v>
      </c>
      <c r="O60" s="9">
        <v>0.0101</v>
      </c>
      <c r="P60" s="9">
        <v>0.0124</v>
      </c>
      <c r="Q60" s="9">
        <v>0.0225</v>
      </c>
      <c r="R60" s="9">
        <v>0.3514</v>
      </c>
      <c r="S60" s="9">
        <v>0.2095</v>
      </c>
      <c r="T60" s="9" t="b">
        <v>1</v>
      </c>
      <c r="U60" s="9" t="b">
        <v>1</v>
      </c>
      <c r="V60" s="9"/>
      <c r="W60" s="9">
        <v>1.0</v>
      </c>
      <c r="X60" s="10" t="s">
        <v>43</v>
      </c>
      <c r="Y60" s="9"/>
      <c r="Z60" s="9"/>
    </row>
    <row r="61">
      <c r="A61" s="9" t="s">
        <v>382</v>
      </c>
      <c r="B61" s="9" t="s">
        <v>47</v>
      </c>
      <c r="C61" s="9">
        <v>59181.0</v>
      </c>
      <c r="D61" s="9" t="s">
        <v>1779</v>
      </c>
      <c r="E61" s="9" t="s">
        <v>51</v>
      </c>
      <c r="F61" s="9">
        <v>7.95</v>
      </c>
      <c r="G61" s="9">
        <v>17.0</v>
      </c>
      <c r="H61" s="9">
        <v>9.05</v>
      </c>
      <c r="I61" s="9">
        <v>5.65</v>
      </c>
      <c r="J61" s="9">
        <v>25.0</v>
      </c>
      <c r="K61" s="9">
        <v>17.19</v>
      </c>
      <c r="L61" s="9">
        <v>0.16</v>
      </c>
      <c r="M61" s="9">
        <v>17.1</v>
      </c>
      <c r="N61" s="9">
        <v>7.95</v>
      </c>
      <c r="O61" s="9">
        <v>0.0</v>
      </c>
      <c r="P61" s="9">
        <v>0.0</v>
      </c>
      <c r="Q61" s="9">
        <v>0.0</v>
      </c>
      <c r="R61" s="9">
        <v>0.04</v>
      </c>
      <c r="S61" s="9">
        <v>0.32</v>
      </c>
      <c r="T61" s="9" t="b">
        <v>1</v>
      </c>
      <c r="U61" s="9" t="b">
        <v>1</v>
      </c>
      <c r="V61" s="9"/>
      <c r="W61" s="9">
        <v>1.0</v>
      </c>
      <c r="X61" s="10" t="s">
        <v>43</v>
      </c>
      <c r="Y61" s="9"/>
      <c r="Z61" s="9"/>
    </row>
    <row r="62">
      <c r="A62" s="9" t="s">
        <v>956</v>
      </c>
      <c r="B62" s="9" t="s">
        <v>88</v>
      </c>
      <c r="C62" s="9">
        <v>564180.0</v>
      </c>
      <c r="D62" s="9" t="s">
        <v>1808</v>
      </c>
      <c r="E62" s="9" t="s">
        <v>25</v>
      </c>
      <c r="F62" s="9">
        <v>7.33</v>
      </c>
      <c r="G62" s="9">
        <v>16.12</v>
      </c>
      <c r="H62" s="9">
        <v>8.79</v>
      </c>
      <c r="I62" s="9">
        <v>3.27</v>
      </c>
      <c r="J62" s="9">
        <v>78.0</v>
      </c>
      <c r="K62" s="9">
        <v>7.33</v>
      </c>
      <c r="L62" s="9">
        <v>0.6154</v>
      </c>
      <c r="M62" s="9">
        <v>10.49</v>
      </c>
      <c r="N62" s="9">
        <v>10.49</v>
      </c>
      <c r="O62" s="9">
        <v>0.0</v>
      </c>
      <c r="P62" s="9">
        <v>0.0</v>
      </c>
      <c r="Q62" s="9">
        <v>0.0</v>
      </c>
      <c r="R62" s="9">
        <v>0.359</v>
      </c>
      <c r="S62" s="9">
        <v>0.2821</v>
      </c>
      <c r="T62" s="9" t="b">
        <v>1</v>
      </c>
      <c r="U62" s="9" t="b">
        <v>1</v>
      </c>
      <c r="V62" s="9" t="b">
        <v>1</v>
      </c>
      <c r="W62" s="9">
        <v>1.0</v>
      </c>
      <c r="X62" s="10" t="s">
        <v>43</v>
      </c>
      <c r="Y62" s="9"/>
      <c r="Z62" s="9"/>
    </row>
    <row r="63">
      <c r="A63" s="9" t="s">
        <v>1600</v>
      </c>
      <c r="B63" s="9" t="s">
        <v>44</v>
      </c>
      <c r="C63" s="9">
        <v>282867.0</v>
      </c>
      <c r="D63" s="9" t="s">
        <v>1835</v>
      </c>
      <c r="E63" s="9" t="s">
        <v>51</v>
      </c>
      <c r="F63" s="9">
        <v>19.95</v>
      </c>
      <c r="G63" s="9">
        <v>28.93</v>
      </c>
      <c r="H63" s="9">
        <v>8.98</v>
      </c>
      <c r="I63" s="9">
        <v>3.32</v>
      </c>
      <c r="J63" s="9">
        <v>240.0</v>
      </c>
      <c r="K63" s="9" t="s">
        <v>39</v>
      </c>
      <c r="L63" s="9">
        <v>0.0</v>
      </c>
      <c r="M63" s="9">
        <v>18.91</v>
      </c>
      <c r="N63" s="9">
        <v>19.95</v>
      </c>
      <c r="O63" s="9">
        <v>0.05</v>
      </c>
      <c r="P63" s="9">
        <v>0.0194</v>
      </c>
      <c r="Q63" s="9">
        <v>0.0694</v>
      </c>
      <c r="R63" s="9">
        <v>0.3083</v>
      </c>
      <c r="S63" s="9">
        <v>0.2833</v>
      </c>
      <c r="T63" s="9" t="b">
        <v>1</v>
      </c>
      <c r="U63" s="9" t="b">
        <v>1</v>
      </c>
      <c r="V63" s="9"/>
      <c r="W63" s="9">
        <v>1.0</v>
      </c>
      <c r="X63" s="10" t="s">
        <v>43</v>
      </c>
      <c r="Y63" s="9"/>
      <c r="Z63" s="9"/>
    </row>
    <row r="64">
      <c r="A64" s="9" t="s">
        <v>49</v>
      </c>
      <c r="B64" s="9" t="s">
        <v>47</v>
      </c>
      <c r="C64" s="9">
        <v>592820.0</v>
      </c>
      <c r="D64" s="9" t="s">
        <v>1856</v>
      </c>
      <c r="E64" s="9" t="s">
        <v>51</v>
      </c>
      <c r="F64" s="9">
        <v>10.9</v>
      </c>
      <c r="G64" s="9">
        <v>19.79</v>
      </c>
      <c r="H64" s="9">
        <v>8.89</v>
      </c>
      <c r="I64" s="9">
        <v>1.27</v>
      </c>
      <c r="J64" s="9">
        <v>28.0</v>
      </c>
      <c r="K64" s="9">
        <v>34.41</v>
      </c>
      <c r="L64" s="9">
        <v>0.3214</v>
      </c>
      <c r="M64" s="9">
        <v>11.74</v>
      </c>
      <c r="N64" s="9">
        <v>10.9</v>
      </c>
      <c r="O64" s="9">
        <v>0.0</v>
      </c>
      <c r="P64" s="9">
        <v>0.0</v>
      </c>
      <c r="Q64" s="9">
        <v>0.0</v>
      </c>
      <c r="R64" s="9">
        <v>0.2857</v>
      </c>
      <c r="S64" s="9">
        <v>0.1071</v>
      </c>
      <c r="T64" s="9" t="b">
        <v>1</v>
      </c>
      <c r="U64" s="9" t="b">
        <v>1</v>
      </c>
      <c r="V64" s="9"/>
      <c r="W64" s="9">
        <v>1.0</v>
      </c>
      <c r="X64" s="10" t="s">
        <v>43</v>
      </c>
      <c r="Y64" s="9"/>
      <c r="Z64" s="9"/>
    </row>
    <row r="65">
      <c r="A65" s="9" t="s">
        <v>551</v>
      </c>
      <c r="B65" s="9" t="s">
        <v>44</v>
      </c>
      <c r="C65" s="9">
        <v>594017.0</v>
      </c>
      <c r="D65" s="9" t="s">
        <v>1881</v>
      </c>
      <c r="E65" s="9" t="s">
        <v>25</v>
      </c>
      <c r="F65" s="9">
        <v>8.29</v>
      </c>
      <c r="G65" s="9">
        <v>17.11</v>
      </c>
      <c r="H65" s="9">
        <v>8.82</v>
      </c>
      <c r="I65" s="9">
        <v>4.49</v>
      </c>
      <c r="J65" s="9">
        <v>214.0</v>
      </c>
      <c r="K65" s="9">
        <v>8.29</v>
      </c>
      <c r="L65" s="9">
        <v>0.986</v>
      </c>
      <c r="M65" s="9">
        <v>11.74</v>
      </c>
      <c r="N65" s="9">
        <v>9.15</v>
      </c>
      <c r="O65" s="9">
        <v>0.0</v>
      </c>
      <c r="P65" s="9">
        <v>0.0164</v>
      </c>
      <c r="Q65" s="9">
        <v>0.0164</v>
      </c>
      <c r="R65" s="9">
        <v>0.271</v>
      </c>
      <c r="S65" s="9">
        <v>0.3178</v>
      </c>
      <c r="T65" s="9" t="b">
        <v>1</v>
      </c>
      <c r="U65" s="9" t="b">
        <v>1</v>
      </c>
      <c r="V65" s="9"/>
      <c r="W65" s="9">
        <v>1.0</v>
      </c>
      <c r="X65" s="10" t="s">
        <v>43</v>
      </c>
      <c r="Y65" s="9"/>
      <c r="Z65" s="9"/>
    </row>
    <row r="66">
      <c r="A66" s="9" t="s">
        <v>956</v>
      </c>
      <c r="B66" s="9" t="s">
        <v>47</v>
      </c>
      <c r="C66" s="9">
        <v>564224.0</v>
      </c>
      <c r="D66" s="9" t="s">
        <v>1902</v>
      </c>
      <c r="E66" s="9" t="s">
        <v>51</v>
      </c>
      <c r="F66" s="9">
        <v>11.17</v>
      </c>
      <c r="G66" s="9">
        <v>16.65</v>
      </c>
      <c r="H66" s="9">
        <v>5.48</v>
      </c>
      <c r="I66" s="9">
        <v>2.57</v>
      </c>
      <c r="J66" s="9">
        <v>34.0</v>
      </c>
      <c r="K66" s="9">
        <v>11.16</v>
      </c>
      <c r="L66" s="9">
        <v>0.4118</v>
      </c>
      <c r="M66" s="9">
        <v>10.49</v>
      </c>
      <c r="N66" s="9">
        <v>11.17</v>
      </c>
      <c r="O66" s="9">
        <v>0.0</v>
      </c>
      <c r="P66" s="9">
        <v>0.0098</v>
      </c>
      <c r="Q66" s="9">
        <v>0.0098</v>
      </c>
      <c r="R66" s="9">
        <v>0.3824</v>
      </c>
      <c r="S66" s="9">
        <v>0.1765</v>
      </c>
      <c r="T66" s="9" t="b">
        <v>1</v>
      </c>
      <c r="U66" s="9" t="b">
        <v>1</v>
      </c>
      <c r="V66" s="9" t="b">
        <v>1</v>
      </c>
      <c r="W66" s="9">
        <v>1.0</v>
      </c>
      <c r="X66" s="10" t="s">
        <v>43</v>
      </c>
      <c r="Y66" s="9"/>
      <c r="Z66" s="9"/>
    </row>
    <row r="67">
      <c r="A67" s="9" t="s">
        <v>1694</v>
      </c>
      <c r="B67" s="9" t="s">
        <v>88</v>
      </c>
      <c r="C67" s="9">
        <v>612262.0</v>
      </c>
      <c r="D67" s="9" t="s">
        <v>1926</v>
      </c>
      <c r="E67" s="9" t="s">
        <v>25</v>
      </c>
      <c r="F67" s="9">
        <v>5.73</v>
      </c>
      <c r="G67" s="9">
        <v>14.46</v>
      </c>
      <c r="H67" s="9">
        <v>8.73</v>
      </c>
      <c r="I67" s="9">
        <v>2.92</v>
      </c>
      <c r="J67" s="9">
        <v>144.0</v>
      </c>
      <c r="K67" s="9">
        <v>5.73</v>
      </c>
      <c r="L67" s="9">
        <v>0.9444</v>
      </c>
      <c r="M67" s="9">
        <v>12.14</v>
      </c>
      <c r="N67" s="9">
        <v>9.22</v>
      </c>
      <c r="O67" s="9">
        <v>0.0156</v>
      </c>
      <c r="P67" s="9">
        <v>0.0197</v>
      </c>
      <c r="Q67" s="9">
        <v>0.0353</v>
      </c>
      <c r="R67" s="9">
        <v>0.3958</v>
      </c>
      <c r="S67" s="9">
        <v>0.2361</v>
      </c>
      <c r="T67" s="9" t="b">
        <v>1</v>
      </c>
      <c r="U67" s="9" t="b">
        <v>1</v>
      </c>
      <c r="V67" s="9"/>
      <c r="W67" s="9">
        <v>1.0</v>
      </c>
      <c r="X67" s="10" t="s">
        <v>43</v>
      </c>
      <c r="Y67" s="9"/>
      <c r="Z67" s="9"/>
    </row>
    <row r="68">
      <c r="A68" s="9" t="s">
        <v>956</v>
      </c>
      <c r="B68" s="9" t="s">
        <v>47</v>
      </c>
      <c r="C68" s="9">
        <v>563938.0</v>
      </c>
      <c r="D68" s="9" t="s">
        <v>1953</v>
      </c>
      <c r="E68" s="9" t="s">
        <v>51</v>
      </c>
      <c r="F68" s="9">
        <v>11.17</v>
      </c>
      <c r="G68" s="9">
        <v>17.63</v>
      </c>
      <c r="H68" s="9">
        <v>6.46</v>
      </c>
      <c r="I68" s="9">
        <v>5.97</v>
      </c>
      <c r="J68" s="9">
        <v>48.0</v>
      </c>
      <c r="K68" s="9">
        <v>13.47</v>
      </c>
      <c r="L68" s="9">
        <v>0.4167</v>
      </c>
      <c r="M68" s="9">
        <v>11.74</v>
      </c>
      <c r="N68" s="9">
        <v>11.17</v>
      </c>
      <c r="O68" s="9">
        <v>0.0</v>
      </c>
      <c r="P68" s="9">
        <v>0.0313</v>
      </c>
      <c r="Q68" s="9">
        <v>0.0313</v>
      </c>
      <c r="R68" s="9">
        <v>0.2292</v>
      </c>
      <c r="S68" s="9">
        <v>0.3958</v>
      </c>
      <c r="T68" s="9" t="b">
        <v>1</v>
      </c>
      <c r="U68" s="9" t="b">
        <v>1</v>
      </c>
      <c r="V68" s="9" t="b">
        <v>1</v>
      </c>
      <c r="W68" s="9">
        <v>1.0</v>
      </c>
      <c r="X68" s="10" t="s">
        <v>43</v>
      </c>
      <c r="Y68" s="9"/>
      <c r="Z68" s="9"/>
    </row>
    <row r="69">
      <c r="A69" s="9" t="s">
        <v>956</v>
      </c>
      <c r="B69" s="9" t="s">
        <v>47</v>
      </c>
      <c r="C69" s="9">
        <v>566497.0</v>
      </c>
      <c r="D69" s="9" t="s">
        <v>1981</v>
      </c>
      <c r="E69" s="9" t="s">
        <v>51</v>
      </c>
      <c r="F69" s="9">
        <v>11.17</v>
      </c>
      <c r="G69" s="9">
        <v>17.56</v>
      </c>
      <c r="H69" s="9">
        <v>6.39</v>
      </c>
      <c r="I69" s="9">
        <v>1.78</v>
      </c>
      <c r="J69" s="9">
        <v>45.0</v>
      </c>
      <c r="K69" s="9">
        <v>7.17</v>
      </c>
      <c r="L69" s="9">
        <v>0.2222</v>
      </c>
      <c r="M69" s="9">
        <v>10.49</v>
      </c>
      <c r="N69" s="9">
        <v>11.17</v>
      </c>
      <c r="O69" s="9">
        <v>0.0</v>
      </c>
      <c r="P69" s="9">
        <v>0.0</v>
      </c>
      <c r="Q69" s="9">
        <v>0.0</v>
      </c>
      <c r="R69" s="9">
        <v>0.5111</v>
      </c>
      <c r="S69" s="9">
        <v>0.2667</v>
      </c>
      <c r="T69" s="9" t="b">
        <v>1</v>
      </c>
      <c r="U69" s="9" t="b">
        <v>1</v>
      </c>
      <c r="V69" s="9" t="b">
        <v>1</v>
      </c>
      <c r="W69" s="9">
        <v>1.0</v>
      </c>
      <c r="X69" s="10" t="s">
        <v>43</v>
      </c>
      <c r="Y69" s="9"/>
      <c r="Z69" s="9"/>
    </row>
    <row r="70">
      <c r="A70" s="9" t="s">
        <v>663</v>
      </c>
      <c r="B70" s="9" t="s">
        <v>40</v>
      </c>
      <c r="C70" s="9">
        <v>313536.0</v>
      </c>
      <c r="D70" s="9" t="s">
        <v>2011</v>
      </c>
      <c r="E70" s="9" t="s">
        <v>25</v>
      </c>
      <c r="F70" s="9">
        <v>18.43</v>
      </c>
      <c r="G70" s="9">
        <v>26.82</v>
      </c>
      <c r="H70" s="9">
        <v>8.39</v>
      </c>
      <c r="I70" s="9">
        <v>1.28</v>
      </c>
      <c r="J70" s="9">
        <v>695.0</v>
      </c>
      <c r="K70" s="9">
        <v>18.43</v>
      </c>
      <c r="L70" s="9">
        <v>0.8115</v>
      </c>
      <c r="M70" s="9">
        <v>18.91</v>
      </c>
      <c r="N70" s="9">
        <v>24.64</v>
      </c>
      <c r="O70" s="9">
        <v>0.0173</v>
      </c>
      <c r="P70" s="9">
        <v>0.011</v>
      </c>
      <c r="Q70" s="9">
        <v>0.0283</v>
      </c>
      <c r="R70" s="9">
        <v>0.6187</v>
      </c>
      <c r="S70" s="9">
        <v>0.1237</v>
      </c>
      <c r="T70" s="9" t="b">
        <v>1</v>
      </c>
      <c r="U70" s="9" t="b">
        <v>1</v>
      </c>
      <c r="V70" s="9"/>
      <c r="W70" s="9">
        <v>1.0</v>
      </c>
      <c r="X70" s="10" t="s">
        <v>43</v>
      </c>
      <c r="Y70" s="9"/>
      <c r="Z70" s="9"/>
    </row>
    <row r="71">
      <c r="A71" s="9" t="s">
        <v>663</v>
      </c>
      <c r="B71" s="9" t="s">
        <v>40</v>
      </c>
      <c r="C71" s="9">
        <v>354027.0</v>
      </c>
      <c r="D71" s="9" t="s">
        <v>2031</v>
      </c>
      <c r="E71" s="9" t="s">
        <v>25</v>
      </c>
      <c r="F71" s="9">
        <v>22.28</v>
      </c>
      <c r="G71" s="9">
        <v>30.55</v>
      </c>
      <c r="H71" s="9">
        <v>8.27</v>
      </c>
      <c r="I71" s="9">
        <v>1.56</v>
      </c>
      <c r="J71" s="9">
        <v>612.0</v>
      </c>
      <c r="K71" s="9">
        <v>22.28</v>
      </c>
      <c r="L71" s="9">
        <v>0.6046</v>
      </c>
      <c r="M71" s="9">
        <v>18.91</v>
      </c>
      <c r="N71" s="9">
        <v>24.64</v>
      </c>
      <c r="O71" s="9">
        <v>0.0323</v>
      </c>
      <c r="P71" s="9">
        <v>0.006</v>
      </c>
      <c r="Q71" s="9">
        <v>0.0383</v>
      </c>
      <c r="R71" s="9">
        <v>0.5882</v>
      </c>
      <c r="S71" s="9">
        <v>0.1879</v>
      </c>
      <c r="T71" s="9" t="b">
        <v>1</v>
      </c>
      <c r="U71" s="9" t="b">
        <v>1</v>
      </c>
      <c r="V71" s="9"/>
      <c r="W71" s="9">
        <v>1.0</v>
      </c>
      <c r="X71" s="10" t="s">
        <v>43</v>
      </c>
      <c r="Y71" s="9"/>
      <c r="Z71" s="9"/>
    </row>
    <row r="72">
      <c r="A72" s="9" t="s">
        <v>2052</v>
      </c>
      <c r="B72" s="9" t="s">
        <v>666</v>
      </c>
      <c r="C72" s="9">
        <v>477996.0</v>
      </c>
      <c r="D72" s="9" t="s">
        <v>2058</v>
      </c>
      <c r="E72" s="9" t="s">
        <v>51</v>
      </c>
      <c r="F72" s="9">
        <v>18.45</v>
      </c>
      <c r="G72" s="9">
        <v>26.7</v>
      </c>
      <c r="H72" s="9">
        <v>8.25</v>
      </c>
      <c r="I72" s="9">
        <v>3.48</v>
      </c>
      <c r="J72" s="9">
        <v>533.0</v>
      </c>
      <c r="K72" s="9">
        <v>22.09</v>
      </c>
      <c r="L72" s="9">
        <v>0.469</v>
      </c>
      <c r="M72" s="9">
        <v>18.91</v>
      </c>
      <c r="N72" s="9">
        <v>18.45</v>
      </c>
      <c r="O72" s="9">
        <v>0.0507</v>
      </c>
      <c r="P72" s="9">
        <v>0.0131</v>
      </c>
      <c r="Q72" s="9">
        <v>0.0638</v>
      </c>
      <c r="R72" s="9">
        <v>0.3058</v>
      </c>
      <c r="S72" s="9">
        <v>0.3396</v>
      </c>
      <c r="T72" s="9" t="b">
        <v>1</v>
      </c>
      <c r="U72" s="9" t="b">
        <v>1</v>
      </c>
      <c r="V72" s="9"/>
      <c r="W72" s="9">
        <v>1.0</v>
      </c>
      <c r="X72" s="10" t="s">
        <v>43</v>
      </c>
      <c r="Y72" s="9"/>
      <c r="Z72" s="9"/>
    </row>
    <row r="73">
      <c r="A73" s="9" t="s">
        <v>1088</v>
      </c>
      <c r="B73" s="9" t="s">
        <v>40</v>
      </c>
      <c r="C73" s="9">
        <v>337620.0</v>
      </c>
      <c r="D73" s="9" t="s">
        <v>2084</v>
      </c>
      <c r="E73" s="9" t="s">
        <v>51</v>
      </c>
      <c r="F73" s="9">
        <v>19.97</v>
      </c>
      <c r="G73" s="9">
        <v>28.11</v>
      </c>
      <c r="H73" s="9">
        <v>8.14</v>
      </c>
      <c r="I73" s="9">
        <v>4.85</v>
      </c>
      <c r="J73" s="9">
        <v>577.0</v>
      </c>
      <c r="K73" s="9">
        <v>31.12</v>
      </c>
      <c r="L73" s="9">
        <v>0.7799</v>
      </c>
      <c r="M73" s="9">
        <v>23.21</v>
      </c>
      <c r="N73" s="9">
        <v>19.97</v>
      </c>
      <c r="O73" s="9">
        <v>0.0784</v>
      </c>
      <c r="P73" s="9">
        <v>0.0618</v>
      </c>
      <c r="Q73" s="9">
        <v>0.1402</v>
      </c>
      <c r="R73" s="9">
        <v>0.4142</v>
      </c>
      <c r="S73" s="9">
        <v>0.3172</v>
      </c>
      <c r="T73" s="9" t="b">
        <v>1</v>
      </c>
      <c r="U73" s="9" t="b">
        <v>1</v>
      </c>
      <c r="V73" s="9"/>
      <c r="W73" s="9">
        <v>1.0</v>
      </c>
      <c r="X73" s="10" t="s">
        <v>43</v>
      </c>
      <c r="Y73" s="9"/>
      <c r="Z73" s="9"/>
    </row>
    <row r="74">
      <c r="A74" s="9" t="s">
        <v>551</v>
      </c>
      <c r="B74" s="9" t="s">
        <v>47</v>
      </c>
      <c r="C74" s="9">
        <v>101365.0</v>
      </c>
      <c r="D74" s="9" t="s">
        <v>2112</v>
      </c>
      <c r="E74" s="9" t="s">
        <v>51</v>
      </c>
      <c r="F74" s="9">
        <v>8.79</v>
      </c>
      <c r="G74" s="9">
        <v>16.73</v>
      </c>
      <c r="H74" s="9">
        <v>7.94</v>
      </c>
      <c r="I74" s="9">
        <v>3.78</v>
      </c>
      <c r="J74" s="9">
        <v>74.0</v>
      </c>
      <c r="K74" s="9">
        <v>10.91</v>
      </c>
      <c r="L74" s="9">
        <v>0.9459</v>
      </c>
      <c r="M74" s="9">
        <v>11.74</v>
      </c>
      <c r="N74" s="9">
        <v>8.79</v>
      </c>
      <c r="O74" s="9">
        <v>0.0</v>
      </c>
      <c r="P74" s="9">
        <v>0.0135</v>
      </c>
      <c r="Q74" s="9">
        <v>0.0135</v>
      </c>
      <c r="R74" s="9">
        <v>0.2162</v>
      </c>
      <c r="S74" s="9">
        <v>0.4054</v>
      </c>
      <c r="T74" s="9" t="b">
        <v>1</v>
      </c>
      <c r="U74" s="9" t="b">
        <v>1</v>
      </c>
      <c r="V74" s="9"/>
      <c r="W74" s="9">
        <v>1.0</v>
      </c>
      <c r="X74" s="10" t="s">
        <v>43</v>
      </c>
      <c r="Y74" s="9"/>
      <c r="Z74" s="9"/>
    </row>
    <row r="75">
      <c r="A75" s="9" t="s">
        <v>719</v>
      </c>
      <c r="B75" s="9" t="s">
        <v>47</v>
      </c>
      <c r="C75" s="9">
        <v>632934.0</v>
      </c>
      <c r="D75" s="9" t="s">
        <v>2137</v>
      </c>
      <c r="E75" s="9" t="s">
        <v>51</v>
      </c>
      <c r="F75" s="9">
        <v>8.18</v>
      </c>
      <c r="G75" s="9">
        <v>16.0</v>
      </c>
      <c r="H75" s="9">
        <v>7.82</v>
      </c>
      <c r="I75" s="9">
        <v>12.74</v>
      </c>
      <c r="J75" s="9">
        <v>59.0</v>
      </c>
      <c r="K75" s="9">
        <v>22.16</v>
      </c>
      <c r="L75" s="9">
        <v>0.339</v>
      </c>
      <c r="M75" s="9">
        <v>12.69</v>
      </c>
      <c r="N75" s="9">
        <v>8.18</v>
      </c>
      <c r="O75" s="9">
        <v>0.0085</v>
      </c>
      <c r="P75" s="9">
        <v>0.1299</v>
      </c>
      <c r="Q75" s="9">
        <v>0.1384</v>
      </c>
      <c r="R75" s="9">
        <v>0.2203</v>
      </c>
      <c r="S75" s="9">
        <v>0.6102</v>
      </c>
      <c r="T75" s="9" t="b">
        <v>1</v>
      </c>
      <c r="U75" s="9" t="b">
        <v>1</v>
      </c>
      <c r="V75" s="9"/>
      <c r="W75" s="9">
        <v>1.0</v>
      </c>
      <c r="X75" s="10" t="s">
        <v>43</v>
      </c>
      <c r="Y75" s="9"/>
      <c r="Z75" s="9"/>
    </row>
    <row r="76">
      <c r="A76" s="9" t="s">
        <v>1396</v>
      </c>
      <c r="B76" s="9" t="s">
        <v>88</v>
      </c>
      <c r="C76" s="9">
        <v>526131.0</v>
      </c>
      <c r="D76" s="9" t="s">
        <v>2159</v>
      </c>
      <c r="E76" s="9" t="s">
        <v>51</v>
      </c>
      <c r="F76" s="9">
        <v>12.87</v>
      </c>
      <c r="G76" s="9">
        <v>20.69</v>
      </c>
      <c r="H76" s="9">
        <v>7.82</v>
      </c>
      <c r="I76" s="9">
        <v>7.87</v>
      </c>
      <c r="J76" s="9">
        <v>108.0</v>
      </c>
      <c r="K76" s="9">
        <v>30.17</v>
      </c>
      <c r="L76" s="9">
        <v>0.5926</v>
      </c>
      <c r="M76" s="9">
        <v>16.51</v>
      </c>
      <c r="N76" s="9">
        <v>12.87</v>
      </c>
      <c r="O76" s="9">
        <v>0.0463</v>
      </c>
      <c r="P76" s="9">
        <v>0.0818</v>
      </c>
      <c r="Q76" s="9">
        <v>0.1281</v>
      </c>
      <c r="R76" s="9">
        <v>0.1204</v>
      </c>
      <c r="S76" s="9">
        <v>0.4074</v>
      </c>
      <c r="T76" s="9" t="b">
        <v>1</v>
      </c>
      <c r="U76" s="9" t="b">
        <v>1</v>
      </c>
      <c r="V76" s="9"/>
      <c r="W76" s="9">
        <v>1.0</v>
      </c>
      <c r="X76" s="10" t="s">
        <v>43</v>
      </c>
      <c r="Y76" s="9"/>
      <c r="Z76" s="9"/>
    </row>
    <row r="77">
      <c r="A77" s="9" t="s">
        <v>1600</v>
      </c>
      <c r="B77" s="9" t="s">
        <v>88</v>
      </c>
      <c r="C77" s="9">
        <v>264653.0</v>
      </c>
      <c r="D77" s="9" t="s">
        <v>2179</v>
      </c>
      <c r="E77" s="9" t="s">
        <v>51</v>
      </c>
      <c r="F77" s="9">
        <v>16.58</v>
      </c>
      <c r="G77" s="9">
        <v>24.36</v>
      </c>
      <c r="H77" s="9">
        <v>7.78</v>
      </c>
      <c r="I77" s="9">
        <v>2.41</v>
      </c>
      <c r="J77" s="9">
        <v>74.0</v>
      </c>
      <c r="K77" s="9" t="s">
        <v>39</v>
      </c>
      <c r="L77" s="9">
        <v>0.0</v>
      </c>
      <c r="M77" s="9">
        <v>18.91</v>
      </c>
      <c r="N77" s="9">
        <v>16.58</v>
      </c>
      <c r="O77" s="9">
        <v>0.0</v>
      </c>
      <c r="P77" s="9">
        <v>0.0</v>
      </c>
      <c r="Q77" s="9">
        <v>0.0</v>
      </c>
      <c r="R77" s="9">
        <v>0.3919</v>
      </c>
      <c r="S77" s="9">
        <v>0.2432</v>
      </c>
      <c r="T77" s="9" t="b">
        <v>1</v>
      </c>
      <c r="U77" s="9" t="b">
        <v>1</v>
      </c>
      <c r="V77" s="9"/>
      <c r="W77" s="9">
        <v>1.0</v>
      </c>
      <c r="X77" s="10" t="s">
        <v>43</v>
      </c>
      <c r="Y77" s="9"/>
      <c r="Z77" s="9"/>
    </row>
    <row r="78">
      <c r="A78" s="9" t="s">
        <v>551</v>
      </c>
      <c r="B78" s="9" t="s">
        <v>88</v>
      </c>
      <c r="C78" s="9">
        <v>334534.0</v>
      </c>
      <c r="D78" s="9" t="s">
        <v>2206</v>
      </c>
      <c r="E78" s="9" t="s">
        <v>25</v>
      </c>
      <c r="F78" s="9">
        <v>8.66</v>
      </c>
      <c r="G78" s="9">
        <v>16.43</v>
      </c>
      <c r="H78" s="9">
        <v>7.77</v>
      </c>
      <c r="I78" s="9">
        <v>1.69</v>
      </c>
      <c r="J78" s="9">
        <v>145.0</v>
      </c>
      <c r="K78" s="9">
        <v>8.66</v>
      </c>
      <c r="L78" s="9">
        <v>0.9517</v>
      </c>
      <c r="M78" s="9">
        <v>11.74</v>
      </c>
      <c r="N78" s="9">
        <v>9.39</v>
      </c>
      <c r="O78" s="9">
        <v>0.0</v>
      </c>
      <c r="P78" s="9">
        <v>0.0</v>
      </c>
      <c r="Q78" s="9">
        <v>0.0</v>
      </c>
      <c r="R78" s="9">
        <v>0.5448</v>
      </c>
      <c r="S78" s="9">
        <v>0.1931</v>
      </c>
      <c r="T78" s="9" t="b">
        <v>1</v>
      </c>
      <c r="U78" s="9" t="b">
        <v>1</v>
      </c>
      <c r="V78" s="9"/>
      <c r="W78" s="9">
        <v>1.0</v>
      </c>
      <c r="X78" s="10" t="s">
        <v>43</v>
      </c>
      <c r="Y78" s="9"/>
      <c r="Z78" s="9"/>
    </row>
    <row r="79">
      <c r="A79" s="9" t="s">
        <v>551</v>
      </c>
      <c r="B79" s="9" t="s">
        <v>44</v>
      </c>
      <c r="C79" s="9">
        <v>561122.0</v>
      </c>
      <c r="D79" s="9" t="s">
        <v>2224</v>
      </c>
      <c r="E79" s="9" t="s">
        <v>51</v>
      </c>
      <c r="F79" s="9">
        <v>9.15</v>
      </c>
      <c r="G79" s="9">
        <v>16.91</v>
      </c>
      <c r="H79" s="9">
        <v>7.76</v>
      </c>
      <c r="I79" s="9">
        <v>1.34</v>
      </c>
      <c r="J79" s="9">
        <v>184.0</v>
      </c>
      <c r="K79" s="9">
        <v>9.48</v>
      </c>
      <c r="L79" s="9">
        <v>0.9348</v>
      </c>
      <c r="M79" s="9">
        <v>11.74</v>
      </c>
      <c r="N79" s="9">
        <v>9.15</v>
      </c>
      <c r="O79" s="9">
        <v>0.0</v>
      </c>
      <c r="P79" s="9">
        <v>0.0045</v>
      </c>
      <c r="Q79" s="9">
        <v>0.0045</v>
      </c>
      <c r="R79" s="9">
        <v>0.6141</v>
      </c>
      <c r="S79" s="9">
        <v>0.1576</v>
      </c>
      <c r="T79" s="9" t="b">
        <v>1</v>
      </c>
      <c r="U79" s="9" t="b">
        <v>1</v>
      </c>
      <c r="V79" s="9"/>
      <c r="W79" s="9">
        <v>1.0</v>
      </c>
      <c r="X79" s="10" t="s">
        <v>43</v>
      </c>
      <c r="Y79" s="9"/>
      <c r="Z79" s="9"/>
    </row>
    <row r="80">
      <c r="A80" s="9" t="s">
        <v>131</v>
      </c>
      <c r="B80" s="9" t="s">
        <v>44</v>
      </c>
      <c r="C80" s="9">
        <v>513324.0</v>
      </c>
      <c r="D80" s="9" t="s">
        <v>2228</v>
      </c>
      <c r="E80" s="9" t="s">
        <v>51</v>
      </c>
      <c r="F80" s="9">
        <v>12.4</v>
      </c>
      <c r="G80" s="9">
        <v>20.16</v>
      </c>
      <c r="H80" s="9">
        <v>7.76</v>
      </c>
      <c r="I80" s="9">
        <v>2.92</v>
      </c>
      <c r="J80" s="9">
        <v>278.0</v>
      </c>
      <c r="K80" s="9">
        <v>18.29</v>
      </c>
      <c r="L80" s="9">
        <v>0.9568</v>
      </c>
      <c r="M80" s="9">
        <v>15.42</v>
      </c>
      <c r="N80" s="9">
        <v>12.4</v>
      </c>
      <c r="O80" s="9">
        <v>0.0018</v>
      </c>
      <c r="P80" s="9">
        <v>0.0012</v>
      </c>
      <c r="Q80" s="9">
        <v>0.003</v>
      </c>
      <c r="R80" s="9">
        <v>0.4353</v>
      </c>
      <c r="S80" s="9">
        <v>0.241</v>
      </c>
      <c r="T80" s="9" t="b">
        <v>1</v>
      </c>
      <c r="U80" s="9" t="b">
        <v>1</v>
      </c>
      <c r="V80" s="9"/>
      <c r="W80" s="9">
        <v>1.0</v>
      </c>
      <c r="X80" s="10" t="s">
        <v>43</v>
      </c>
      <c r="Y80" s="9"/>
      <c r="Z80" s="9"/>
    </row>
    <row r="81">
      <c r="A81" s="9" t="s">
        <v>790</v>
      </c>
      <c r="B81" s="9" t="s">
        <v>47</v>
      </c>
      <c r="C81" s="9">
        <v>616496.0</v>
      </c>
      <c r="D81" s="9" t="s">
        <v>2231</v>
      </c>
      <c r="E81" s="9" t="s">
        <v>51</v>
      </c>
      <c r="F81" s="9">
        <v>11.03</v>
      </c>
      <c r="G81" s="9">
        <v>18.78</v>
      </c>
      <c r="H81" s="9">
        <v>7.75</v>
      </c>
      <c r="I81" s="9">
        <v>1.93</v>
      </c>
      <c r="J81" s="9">
        <v>37.0</v>
      </c>
      <c r="K81" s="9">
        <v>11.48</v>
      </c>
      <c r="L81" s="9">
        <v>0.973</v>
      </c>
      <c r="M81" s="9">
        <v>14.21</v>
      </c>
      <c r="N81" s="9">
        <v>11.03</v>
      </c>
      <c r="O81" s="9">
        <v>0.027</v>
      </c>
      <c r="P81" s="9">
        <v>0.0</v>
      </c>
      <c r="Q81" s="9">
        <v>0.027</v>
      </c>
      <c r="R81" s="9">
        <v>0.4054</v>
      </c>
      <c r="S81" s="9">
        <v>0.2162</v>
      </c>
      <c r="T81" s="9" t="b">
        <v>1</v>
      </c>
      <c r="U81" s="9" t="b">
        <v>1</v>
      </c>
      <c r="V81" s="9"/>
      <c r="W81" s="9">
        <v>1.0</v>
      </c>
      <c r="X81" s="10" t="s">
        <v>43</v>
      </c>
      <c r="Y81" s="9"/>
      <c r="Z81" s="9"/>
    </row>
    <row r="82">
      <c r="A82" s="9" t="s">
        <v>686</v>
      </c>
      <c r="B82" s="9" t="s">
        <v>47</v>
      </c>
      <c r="C82" s="9">
        <v>53137.0</v>
      </c>
      <c r="D82" s="9" t="s">
        <v>2234</v>
      </c>
      <c r="E82" s="9" t="s">
        <v>51</v>
      </c>
      <c r="F82" s="9">
        <v>11.09</v>
      </c>
      <c r="G82" s="9">
        <v>18.84</v>
      </c>
      <c r="H82" s="9">
        <v>7.75</v>
      </c>
      <c r="I82" s="9">
        <v>2.23</v>
      </c>
      <c r="J82" s="9">
        <v>51.0</v>
      </c>
      <c r="K82" s="9" t="s">
        <v>39</v>
      </c>
      <c r="L82" s="9">
        <v>0.0</v>
      </c>
      <c r="M82" s="9">
        <v>14.44</v>
      </c>
      <c r="N82" s="9">
        <v>11.09</v>
      </c>
      <c r="O82" s="9">
        <v>0.0294</v>
      </c>
      <c r="P82" s="9">
        <v>0.0</v>
      </c>
      <c r="Q82" s="9">
        <v>0.0294</v>
      </c>
      <c r="R82" s="9">
        <v>0.2157</v>
      </c>
      <c r="S82" s="9">
        <v>0.2549</v>
      </c>
      <c r="T82" s="9" t="b">
        <v>1</v>
      </c>
      <c r="U82" s="9" t="b">
        <v>1</v>
      </c>
      <c r="V82" s="9"/>
      <c r="W82" s="9">
        <v>1.0</v>
      </c>
      <c r="X82" s="10" t="s">
        <v>43</v>
      </c>
      <c r="Y82" s="9"/>
      <c r="Z82" s="9"/>
    </row>
    <row r="83">
      <c r="A83" s="9" t="s">
        <v>39</v>
      </c>
      <c r="B83" s="9" t="s">
        <v>47</v>
      </c>
      <c r="C83" s="9">
        <v>624595.0</v>
      </c>
      <c r="D83" s="9" t="s">
        <v>2238</v>
      </c>
      <c r="E83" s="9" t="s">
        <v>965</v>
      </c>
      <c r="F83" s="9">
        <v>13.0</v>
      </c>
      <c r="G83" s="9">
        <v>20.72</v>
      </c>
      <c r="H83" s="9">
        <v>7.72</v>
      </c>
      <c r="I83" s="9">
        <v>5.33</v>
      </c>
      <c r="J83" s="9">
        <v>57.0</v>
      </c>
      <c r="K83" s="9">
        <v>21.29</v>
      </c>
      <c r="L83" s="9">
        <v>0.8772</v>
      </c>
      <c r="M83" s="9">
        <v>23.21</v>
      </c>
      <c r="N83" s="9">
        <v>20.72</v>
      </c>
      <c r="O83" s="9">
        <v>0.0</v>
      </c>
      <c r="P83" s="9">
        <v>0.0175</v>
      </c>
      <c r="Q83" s="9">
        <v>0.0175</v>
      </c>
      <c r="R83" s="9">
        <v>0.1579</v>
      </c>
      <c r="S83" s="9">
        <v>0.2632</v>
      </c>
      <c r="T83" s="9" t="b">
        <v>1</v>
      </c>
      <c r="U83" s="9" t="b">
        <v>1</v>
      </c>
      <c r="V83" s="9"/>
      <c r="W83" s="9">
        <v>1.0</v>
      </c>
      <c r="X83" s="10" t="s">
        <v>43</v>
      </c>
      <c r="Y83" s="9"/>
      <c r="Z83" s="9"/>
    </row>
    <row r="84">
      <c r="A84" s="9" t="s">
        <v>432</v>
      </c>
      <c r="B84" s="9" t="s">
        <v>47</v>
      </c>
      <c r="C84" s="9">
        <v>586782.0</v>
      </c>
      <c r="D84" s="9" t="s">
        <v>2242</v>
      </c>
      <c r="E84" s="9" t="s">
        <v>51</v>
      </c>
      <c r="F84" s="9">
        <v>7.88</v>
      </c>
      <c r="G84" s="9">
        <v>15.59</v>
      </c>
      <c r="H84" s="9">
        <v>7.71</v>
      </c>
      <c r="I84" s="9">
        <v>6.96</v>
      </c>
      <c r="J84" s="9">
        <v>29.0</v>
      </c>
      <c r="K84" s="9">
        <v>39.32</v>
      </c>
      <c r="L84" s="9">
        <v>0.1379</v>
      </c>
      <c r="M84" s="9">
        <v>11.74</v>
      </c>
      <c r="N84" s="9">
        <v>7.88</v>
      </c>
      <c r="O84" s="9">
        <v>0.0</v>
      </c>
      <c r="P84" s="9">
        <v>0.023</v>
      </c>
      <c r="Q84" s="9">
        <v>0.023</v>
      </c>
      <c r="R84" s="9">
        <v>0.0</v>
      </c>
      <c r="S84" s="9">
        <v>0.5517</v>
      </c>
      <c r="T84" s="9" t="b">
        <v>1</v>
      </c>
      <c r="U84" s="9" t="b">
        <v>1</v>
      </c>
      <c r="V84" s="9"/>
      <c r="W84" s="9">
        <v>1.0</v>
      </c>
      <c r="X84" s="10" t="s">
        <v>43</v>
      </c>
      <c r="Y84" s="9"/>
      <c r="Z84" s="9"/>
    </row>
    <row r="85">
      <c r="A85" s="9" t="s">
        <v>440</v>
      </c>
      <c r="B85" s="9" t="s">
        <v>47</v>
      </c>
      <c r="C85" s="9">
        <v>152400.0</v>
      </c>
      <c r="D85" s="9" t="s">
        <v>2247</v>
      </c>
      <c r="E85" s="9" t="s">
        <v>51</v>
      </c>
      <c r="F85" s="9">
        <v>9.3</v>
      </c>
      <c r="G85" s="9">
        <v>16.98</v>
      </c>
      <c r="H85" s="9">
        <v>7.68</v>
      </c>
      <c r="I85" s="9">
        <v>3.37</v>
      </c>
      <c r="J85" s="9">
        <v>44.0</v>
      </c>
      <c r="K85" s="9">
        <v>18.79</v>
      </c>
      <c r="L85" s="9">
        <v>0.6591</v>
      </c>
      <c r="M85" s="9">
        <v>10.49</v>
      </c>
      <c r="N85" s="9">
        <v>9.3</v>
      </c>
      <c r="O85" s="9">
        <v>0.0</v>
      </c>
      <c r="P85" s="9">
        <v>0.0682</v>
      </c>
      <c r="Q85" s="9">
        <v>0.0682</v>
      </c>
      <c r="R85" s="9">
        <v>0.3409</v>
      </c>
      <c r="S85" s="9">
        <v>0.3409</v>
      </c>
      <c r="T85" s="9" t="b">
        <v>1</v>
      </c>
      <c r="U85" s="9" t="b">
        <v>1</v>
      </c>
      <c r="V85" s="9"/>
      <c r="W85" s="9">
        <v>1.0</v>
      </c>
      <c r="X85" s="10" t="s">
        <v>43</v>
      </c>
      <c r="Y85" s="9"/>
      <c r="Z85" s="9"/>
    </row>
    <row r="86">
      <c r="A86" s="9" t="s">
        <v>1813</v>
      </c>
      <c r="B86" s="9" t="s">
        <v>666</v>
      </c>
      <c r="C86" s="9">
        <v>143815.0</v>
      </c>
      <c r="D86" s="9" t="s">
        <v>1813</v>
      </c>
      <c r="E86" s="9" t="s">
        <v>965</v>
      </c>
      <c r="F86" s="9">
        <v>11.63</v>
      </c>
      <c r="G86" s="9">
        <v>19.29</v>
      </c>
      <c r="H86" s="9">
        <v>7.66</v>
      </c>
      <c r="I86" s="9">
        <v>2.08</v>
      </c>
      <c r="J86" s="9">
        <v>391.0</v>
      </c>
      <c r="K86" s="9">
        <v>16.8</v>
      </c>
      <c r="L86" s="9">
        <v>0.9847</v>
      </c>
      <c r="M86" s="9">
        <v>11.74</v>
      </c>
      <c r="N86" s="9">
        <v>19.29</v>
      </c>
      <c r="O86" s="9">
        <v>0.0</v>
      </c>
      <c r="P86" s="9">
        <v>0.0264</v>
      </c>
      <c r="Q86" s="9">
        <v>0.0264</v>
      </c>
      <c r="R86" s="9">
        <v>0.6777</v>
      </c>
      <c r="S86" s="9">
        <v>0.179</v>
      </c>
      <c r="T86" s="9" t="b">
        <v>1</v>
      </c>
      <c r="U86" s="9" t="b">
        <v>1</v>
      </c>
      <c r="V86" s="9"/>
      <c r="W86" s="9">
        <v>1.0</v>
      </c>
      <c r="X86" s="10" t="s">
        <v>43</v>
      </c>
      <c r="Y86" s="9"/>
      <c r="Z86" s="9"/>
    </row>
    <row r="87">
      <c r="A87" s="9" t="s">
        <v>39</v>
      </c>
      <c r="B87" s="9" t="s">
        <v>47</v>
      </c>
      <c r="C87" s="9">
        <v>623859.0</v>
      </c>
      <c r="D87" s="9" t="s">
        <v>2256</v>
      </c>
      <c r="E87" s="9" t="s">
        <v>965</v>
      </c>
      <c r="F87" s="9">
        <v>13.0</v>
      </c>
      <c r="G87" s="9">
        <v>20.53</v>
      </c>
      <c r="H87" s="9">
        <v>7.53</v>
      </c>
      <c r="I87" s="9">
        <v>1.02</v>
      </c>
      <c r="J87" s="9">
        <v>51.0</v>
      </c>
      <c r="K87" s="9">
        <v>21.55</v>
      </c>
      <c r="L87" s="9">
        <v>1.0</v>
      </c>
      <c r="M87" s="9">
        <v>14.75</v>
      </c>
      <c r="N87" s="9">
        <v>20.53</v>
      </c>
      <c r="O87" s="9">
        <v>0.0</v>
      </c>
      <c r="P87" s="9">
        <v>0.0065</v>
      </c>
      <c r="Q87" s="9">
        <v>0.0065</v>
      </c>
      <c r="R87" s="9">
        <v>0.5686</v>
      </c>
      <c r="S87" s="9">
        <v>0.098</v>
      </c>
      <c r="T87" s="9" t="b">
        <v>1</v>
      </c>
      <c r="U87" s="9" t="b">
        <v>1</v>
      </c>
      <c r="V87" s="9"/>
      <c r="W87" s="9">
        <v>1.0</v>
      </c>
      <c r="X87" s="10" t="s">
        <v>43</v>
      </c>
      <c r="Y87" s="9"/>
      <c r="Z87" s="9"/>
    </row>
    <row r="88">
      <c r="A88" s="9" t="s">
        <v>551</v>
      </c>
      <c r="B88" s="9" t="s">
        <v>44</v>
      </c>
      <c r="C88" s="9">
        <v>425859.0</v>
      </c>
      <c r="D88" s="9" t="s">
        <v>2260</v>
      </c>
      <c r="E88" s="9" t="s">
        <v>25</v>
      </c>
      <c r="F88" s="9">
        <v>8.35</v>
      </c>
      <c r="G88" s="9">
        <v>15.73</v>
      </c>
      <c r="H88" s="9">
        <v>7.38</v>
      </c>
      <c r="I88" s="9">
        <v>2.47</v>
      </c>
      <c r="J88" s="9">
        <v>249.0</v>
      </c>
      <c r="K88" s="9">
        <v>8.35</v>
      </c>
      <c r="L88" s="9">
        <v>0.9558</v>
      </c>
      <c r="M88" s="9">
        <v>11.74</v>
      </c>
      <c r="N88" s="9">
        <v>9.15</v>
      </c>
      <c r="O88" s="9">
        <v>0.001</v>
      </c>
      <c r="P88" s="9">
        <v>0.0127</v>
      </c>
      <c r="Q88" s="9">
        <v>0.0137</v>
      </c>
      <c r="R88" s="9">
        <v>0.4177</v>
      </c>
      <c r="S88" s="9">
        <v>0.1888</v>
      </c>
      <c r="T88" s="9" t="b">
        <v>1</v>
      </c>
      <c r="U88" s="9" t="b">
        <v>1</v>
      </c>
      <c r="V88" s="9"/>
      <c r="W88" s="9">
        <v>1.0</v>
      </c>
      <c r="X88" s="10" t="s">
        <v>43</v>
      </c>
      <c r="Y88" s="9"/>
      <c r="Z88" s="9"/>
    </row>
    <row r="89">
      <c r="A89" s="9" t="s">
        <v>1600</v>
      </c>
      <c r="B89" s="9" t="s">
        <v>47</v>
      </c>
      <c r="C89" s="9">
        <v>352620.0</v>
      </c>
      <c r="D89" s="9" t="s">
        <v>2264</v>
      </c>
      <c r="E89" s="9" t="s">
        <v>51</v>
      </c>
      <c r="F89" s="9">
        <v>14.41</v>
      </c>
      <c r="G89" s="9">
        <v>21.75</v>
      </c>
      <c r="H89" s="9">
        <v>7.34</v>
      </c>
      <c r="I89" s="9">
        <v>2.69</v>
      </c>
      <c r="J89" s="9">
        <v>63.0</v>
      </c>
      <c r="K89" s="9" t="s">
        <v>39</v>
      </c>
      <c r="L89" s="9">
        <v>0.0</v>
      </c>
      <c r="M89" s="9">
        <v>18.91</v>
      </c>
      <c r="N89" s="9">
        <v>14.41</v>
      </c>
      <c r="O89" s="9">
        <v>0.0079</v>
      </c>
      <c r="P89" s="9">
        <v>0.0</v>
      </c>
      <c r="Q89" s="9">
        <v>0.0079</v>
      </c>
      <c r="R89" s="9">
        <v>0.2857</v>
      </c>
      <c r="S89" s="9">
        <v>0.2222</v>
      </c>
      <c r="T89" s="9" t="b">
        <v>1</v>
      </c>
      <c r="U89" s="9" t="b">
        <v>1</v>
      </c>
      <c r="V89" s="9"/>
      <c r="W89" s="9">
        <v>1.0</v>
      </c>
      <c r="X89" s="10" t="s">
        <v>43</v>
      </c>
      <c r="Y89" s="9"/>
      <c r="Z89" s="9"/>
    </row>
    <row r="90">
      <c r="A90" s="9" t="s">
        <v>432</v>
      </c>
      <c r="B90" s="9" t="s">
        <v>88</v>
      </c>
      <c r="C90" s="9">
        <v>45345.0</v>
      </c>
      <c r="D90" s="9" t="s">
        <v>2268</v>
      </c>
      <c r="E90" s="9" t="s">
        <v>51</v>
      </c>
      <c r="F90" s="9">
        <v>7.04</v>
      </c>
      <c r="G90" s="9">
        <v>14.34</v>
      </c>
      <c r="H90" s="9">
        <v>7.3</v>
      </c>
      <c r="I90" s="9">
        <v>8.0</v>
      </c>
      <c r="J90" s="9">
        <v>73.0</v>
      </c>
      <c r="K90" s="9" t="s">
        <v>39</v>
      </c>
      <c r="L90" s="9">
        <v>0.0</v>
      </c>
      <c r="M90" s="9">
        <v>11.74</v>
      </c>
      <c r="N90" s="9">
        <v>7.04</v>
      </c>
      <c r="O90" s="9">
        <v>0.0</v>
      </c>
      <c r="P90" s="9">
        <v>0.0183</v>
      </c>
      <c r="Q90" s="9">
        <v>0.0183</v>
      </c>
      <c r="R90" s="9">
        <v>0.0411</v>
      </c>
      <c r="S90" s="9">
        <v>0.5616</v>
      </c>
      <c r="T90" s="9" t="b">
        <v>1</v>
      </c>
      <c r="U90" s="9" t="b">
        <v>1</v>
      </c>
      <c r="V90" s="9"/>
      <c r="W90" s="9">
        <v>1.0</v>
      </c>
      <c r="X90" s="10" t="s">
        <v>43</v>
      </c>
      <c r="Y90" s="9"/>
      <c r="Z90" s="9"/>
    </row>
    <row r="91">
      <c r="A91" s="9" t="s">
        <v>1580</v>
      </c>
      <c r="B91" s="9" t="s">
        <v>44</v>
      </c>
      <c r="C91" s="9">
        <v>544596.0</v>
      </c>
      <c r="D91" s="9" t="s">
        <v>2273</v>
      </c>
      <c r="E91" s="9" t="s">
        <v>51</v>
      </c>
      <c r="F91" s="9">
        <v>6.34</v>
      </c>
      <c r="G91" s="9">
        <v>13.63</v>
      </c>
      <c r="H91" s="9">
        <v>7.29</v>
      </c>
      <c r="I91" s="9">
        <v>1.38</v>
      </c>
      <c r="J91" s="9">
        <v>89.0</v>
      </c>
      <c r="K91" s="9">
        <v>16.22</v>
      </c>
      <c r="L91" s="9">
        <v>0.7865</v>
      </c>
      <c r="M91" s="9">
        <v>5.55</v>
      </c>
      <c r="N91" s="9">
        <v>6.34</v>
      </c>
      <c r="O91" s="9">
        <v>0.0169</v>
      </c>
      <c r="P91" s="9">
        <v>0.0037</v>
      </c>
      <c r="Q91" s="9">
        <v>0.0206</v>
      </c>
      <c r="R91" s="9">
        <v>0.3933</v>
      </c>
      <c r="S91" s="9">
        <v>0.1461</v>
      </c>
      <c r="T91" s="9" t="b">
        <v>1</v>
      </c>
      <c r="U91" s="9" t="b">
        <v>1</v>
      </c>
      <c r="V91" s="9"/>
      <c r="W91" s="9">
        <v>1.0</v>
      </c>
      <c r="X91" s="10" t="s">
        <v>43</v>
      </c>
      <c r="Y91" s="9"/>
      <c r="Z91" s="9"/>
    </row>
    <row r="92">
      <c r="A92" s="9" t="s">
        <v>1954</v>
      </c>
      <c r="B92" s="9" t="s">
        <v>47</v>
      </c>
      <c r="C92" s="9">
        <v>475015.0</v>
      </c>
      <c r="D92" s="9" t="s">
        <v>2275</v>
      </c>
      <c r="E92" s="9" t="s">
        <v>51</v>
      </c>
      <c r="F92" s="9">
        <v>14.21</v>
      </c>
      <c r="G92" s="9">
        <v>21.5</v>
      </c>
      <c r="H92" s="9">
        <v>7.29</v>
      </c>
      <c r="I92" s="9">
        <v>3.15</v>
      </c>
      <c r="J92" s="9">
        <v>52.0</v>
      </c>
      <c r="K92" s="9">
        <v>23.98</v>
      </c>
      <c r="L92" s="9">
        <v>0.8269</v>
      </c>
      <c r="M92" s="9">
        <v>23.21</v>
      </c>
      <c r="N92" s="9">
        <v>18.12</v>
      </c>
      <c r="O92" s="9">
        <v>0.0</v>
      </c>
      <c r="P92" s="9">
        <v>0.0</v>
      </c>
      <c r="Q92" s="9">
        <v>0.0</v>
      </c>
      <c r="R92" s="9">
        <v>0.3269</v>
      </c>
      <c r="S92" s="9">
        <v>0.4038</v>
      </c>
      <c r="T92" s="9" t="b">
        <v>1</v>
      </c>
      <c r="U92" s="9" t="b">
        <v>1</v>
      </c>
      <c r="V92" s="9"/>
      <c r="W92" s="9">
        <v>1.0</v>
      </c>
      <c r="X92" s="10" t="s">
        <v>43</v>
      </c>
      <c r="Y92" s="9"/>
      <c r="Z92" s="9"/>
    </row>
    <row r="93">
      <c r="A93" s="9" t="s">
        <v>719</v>
      </c>
      <c r="B93" s="9" t="s">
        <v>44</v>
      </c>
      <c r="C93" s="9">
        <v>61296.0</v>
      </c>
      <c r="D93" s="9" t="s">
        <v>2281</v>
      </c>
      <c r="E93" s="9" t="s">
        <v>51</v>
      </c>
      <c r="F93" s="9">
        <v>9.65</v>
      </c>
      <c r="G93" s="9">
        <v>16.92</v>
      </c>
      <c r="H93" s="9">
        <v>7.27</v>
      </c>
      <c r="I93" s="9">
        <v>1.89</v>
      </c>
      <c r="J93" s="9">
        <v>311.0</v>
      </c>
      <c r="K93" s="9">
        <v>14.75</v>
      </c>
      <c r="L93" s="9">
        <v>0.2379</v>
      </c>
      <c r="M93" s="9">
        <v>10.49</v>
      </c>
      <c r="N93" s="9">
        <v>9.65</v>
      </c>
      <c r="O93" s="9">
        <v>0.0225</v>
      </c>
      <c r="P93" s="9">
        <v>0.0032</v>
      </c>
      <c r="Q93" s="9">
        <v>0.0257</v>
      </c>
      <c r="R93" s="9">
        <v>0.4887</v>
      </c>
      <c r="S93" s="9">
        <v>0.2251</v>
      </c>
      <c r="T93" s="9" t="b">
        <v>1</v>
      </c>
      <c r="U93" s="9" t="b">
        <v>1</v>
      </c>
      <c r="V93" s="9"/>
      <c r="W93" s="9">
        <v>1.0</v>
      </c>
      <c r="X93" s="10" t="s">
        <v>43</v>
      </c>
      <c r="Y93" s="9"/>
      <c r="Z93" s="9"/>
    </row>
    <row r="94">
      <c r="A94" s="9" t="s">
        <v>39</v>
      </c>
      <c r="B94" s="9" t="s">
        <v>44</v>
      </c>
      <c r="C94" s="9">
        <v>170841.0</v>
      </c>
      <c r="D94" s="9" t="s">
        <v>2283</v>
      </c>
      <c r="E94" s="9" t="s">
        <v>2284</v>
      </c>
      <c r="F94" s="9">
        <v>21.81</v>
      </c>
      <c r="G94" s="9">
        <v>29.08</v>
      </c>
      <c r="H94" s="9">
        <v>7.27</v>
      </c>
      <c r="I94" s="9">
        <v>0.74</v>
      </c>
      <c r="J94" s="9">
        <v>167.0</v>
      </c>
      <c r="K94" s="9">
        <v>27.63</v>
      </c>
      <c r="L94" s="9">
        <v>0.9222</v>
      </c>
      <c r="M94" s="9">
        <v>23.21</v>
      </c>
      <c r="N94" s="9">
        <v>29.08</v>
      </c>
      <c r="O94" s="9">
        <v>0.024</v>
      </c>
      <c r="P94" s="9">
        <v>0.006</v>
      </c>
      <c r="Q94" s="9">
        <v>0.03</v>
      </c>
      <c r="R94" s="9">
        <v>0.7605</v>
      </c>
      <c r="S94" s="9">
        <v>0.1018</v>
      </c>
      <c r="T94" s="9" t="b">
        <v>1</v>
      </c>
      <c r="U94" s="9" t="b">
        <v>1</v>
      </c>
      <c r="V94" s="9"/>
      <c r="W94" s="9">
        <v>1.0</v>
      </c>
      <c r="X94" s="10" t="s">
        <v>43</v>
      </c>
      <c r="Y94" s="9"/>
      <c r="Z94" s="9"/>
    </row>
    <row r="95">
      <c r="A95" s="9" t="s">
        <v>561</v>
      </c>
      <c r="B95" s="9" t="s">
        <v>47</v>
      </c>
      <c r="C95" s="9">
        <v>222913.0</v>
      </c>
      <c r="D95" s="9" t="s">
        <v>2288</v>
      </c>
      <c r="E95" s="9" t="s">
        <v>51</v>
      </c>
      <c r="F95" s="9">
        <v>10.42</v>
      </c>
      <c r="G95" s="9">
        <v>17.63</v>
      </c>
      <c r="H95" s="9">
        <v>7.21</v>
      </c>
      <c r="I95" s="9">
        <v>6.33</v>
      </c>
      <c r="J95" s="9">
        <v>30.0</v>
      </c>
      <c r="K95" s="9">
        <v>28.82</v>
      </c>
      <c r="L95" s="9">
        <v>0.3333</v>
      </c>
      <c r="M95" s="9">
        <v>10.49</v>
      </c>
      <c r="N95" s="9">
        <v>10.42</v>
      </c>
      <c r="O95" s="9">
        <v>0.0167</v>
      </c>
      <c r="P95" s="9">
        <v>0.0333</v>
      </c>
      <c r="Q95" s="9">
        <v>0.05</v>
      </c>
      <c r="R95" s="9">
        <v>0.0667</v>
      </c>
      <c r="S95" s="9">
        <v>0.2667</v>
      </c>
      <c r="T95" s="9" t="b">
        <v>1</v>
      </c>
      <c r="U95" s="9" t="b">
        <v>1</v>
      </c>
      <c r="V95" s="9"/>
      <c r="W95" s="9">
        <v>1.0</v>
      </c>
      <c r="X95" s="10" t="s">
        <v>43</v>
      </c>
      <c r="Y95" s="9"/>
      <c r="Z95" s="9"/>
    </row>
    <row r="96">
      <c r="A96" s="9" t="s">
        <v>561</v>
      </c>
      <c r="B96" s="9" t="s">
        <v>88</v>
      </c>
      <c r="C96" s="9">
        <v>407962.0</v>
      </c>
      <c r="D96" s="9" t="s">
        <v>2293</v>
      </c>
      <c r="E96" s="9" t="s">
        <v>51</v>
      </c>
      <c r="F96" s="9">
        <v>13.57</v>
      </c>
      <c r="G96" s="9">
        <v>20.75</v>
      </c>
      <c r="H96" s="9">
        <v>7.18</v>
      </c>
      <c r="I96" s="9">
        <v>6.09</v>
      </c>
      <c r="J96" s="9">
        <v>127.0</v>
      </c>
      <c r="K96" s="9" t="s">
        <v>39</v>
      </c>
      <c r="L96" s="9">
        <v>0.0</v>
      </c>
      <c r="M96" s="9">
        <v>10.49</v>
      </c>
      <c r="N96" s="9">
        <v>13.57</v>
      </c>
      <c r="O96" s="9">
        <v>0.0551</v>
      </c>
      <c r="P96" s="9">
        <v>0.0184</v>
      </c>
      <c r="Q96" s="9">
        <v>0.0735</v>
      </c>
      <c r="R96" s="9">
        <v>0.1024</v>
      </c>
      <c r="S96" s="9">
        <v>0.5354</v>
      </c>
      <c r="T96" s="9" t="b">
        <v>1</v>
      </c>
      <c r="U96" s="9" t="b">
        <v>1</v>
      </c>
      <c r="V96" s="9"/>
      <c r="W96" s="9">
        <v>1.0</v>
      </c>
      <c r="X96" s="10" t="s">
        <v>43</v>
      </c>
      <c r="Y96" s="9"/>
      <c r="Z96" s="9"/>
    </row>
    <row r="97">
      <c r="A97" s="9" t="s">
        <v>551</v>
      </c>
      <c r="B97" s="9" t="s">
        <v>44</v>
      </c>
      <c r="C97" s="9">
        <v>62966.0</v>
      </c>
      <c r="D97" s="9" t="s">
        <v>2298</v>
      </c>
      <c r="E97" s="9" t="s">
        <v>25</v>
      </c>
      <c r="F97" s="9">
        <v>8.83</v>
      </c>
      <c r="G97" s="9">
        <v>15.96</v>
      </c>
      <c r="H97" s="9">
        <v>7.13</v>
      </c>
      <c r="I97" s="9">
        <v>1.8</v>
      </c>
      <c r="J97" s="9">
        <v>268.0</v>
      </c>
      <c r="K97" s="9">
        <v>8.83</v>
      </c>
      <c r="L97" s="9">
        <v>0.9925</v>
      </c>
      <c r="M97" s="9">
        <v>11.74</v>
      </c>
      <c r="N97" s="9">
        <v>9.15</v>
      </c>
      <c r="O97" s="9">
        <v>0.0019</v>
      </c>
      <c r="P97" s="9">
        <v>0.0124</v>
      </c>
      <c r="Q97" s="9">
        <v>0.0143</v>
      </c>
      <c r="R97" s="9">
        <v>0.5075</v>
      </c>
      <c r="S97" s="9">
        <v>0.194</v>
      </c>
      <c r="T97" s="9" t="b">
        <v>1</v>
      </c>
      <c r="U97" s="9" t="b">
        <v>1</v>
      </c>
      <c r="V97" s="9"/>
      <c r="W97" s="9">
        <v>1.0</v>
      </c>
      <c r="X97" s="10" t="s">
        <v>43</v>
      </c>
      <c r="Y97" s="9"/>
      <c r="Z97" s="9"/>
    </row>
    <row r="98">
      <c r="A98" s="9" t="s">
        <v>39</v>
      </c>
      <c r="B98" s="9" t="s">
        <v>88</v>
      </c>
      <c r="C98" s="9">
        <v>182109.0</v>
      </c>
      <c r="D98" s="9" t="s">
        <v>2303</v>
      </c>
      <c r="E98" s="9" t="s">
        <v>42</v>
      </c>
      <c r="F98" s="9">
        <v>23.21</v>
      </c>
      <c r="G98" s="9">
        <v>30.33</v>
      </c>
      <c r="H98" s="9">
        <v>7.12</v>
      </c>
      <c r="I98" s="9">
        <v>5.3</v>
      </c>
      <c r="J98" s="9">
        <v>126.0</v>
      </c>
      <c r="K98" s="9">
        <v>40.39</v>
      </c>
      <c r="L98" s="9">
        <v>0.6508</v>
      </c>
      <c r="M98" s="9">
        <v>23.21</v>
      </c>
      <c r="N98" s="9">
        <v>30.33</v>
      </c>
      <c r="O98" s="9">
        <v>0.123</v>
      </c>
      <c r="P98" s="9">
        <v>0.0344</v>
      </c>
      <c r="Q98" s="9">
        <v>0.1574</v>
      </c>
      <c r="R98" s="9">
        <v>0.3889</v>
      </c>
      <c r="S98" s="9">
        <v>0.3492</v>
      </c>
      <c r="T98" s="9" t="b">
        <v>1</v>
      </c>
      <c r="U98" s="9" t="b">
        <v>1</v>
      </c>
      <c r="V98" s="9"/>
      <c r="W98" s="9">
        <v>1.0</v>
      </c>
      <c r="X98" s="10" t="s">
        <v>43</v>
      </c>
      <c r="Y98" s="9"/>
      <c r="Z98" s="9"/>
    </row>
    <row r="99">
      <c r="A99" s="9" t="s">
        <v>1600</v>
      </c>
      <c r="B99" s="9" t="s">
        <v>666</v>
      </c>
      <c r="C99" s="9">
        <v>316068.0</v>
      </c>
      <c r="D99" s="9" t="s">
        <v>2309</v>
      </c>
      <c r="E99" s="9" t="s">
        <v>51</v>
      </c>
      <c r="F99" s="9">
        <v>23.76</v>
      </c>
      <c r="G99" s="9">
        <v>30.88</v>
      </c>
      <c r="H99" s="9">
        <v>7.12</v>
      </c>
      <c r="I99" s="9">
        <v>2.55</v>
      </c>
      <c r="J99" s="9">
        <v>477.0</v>
      </c>
      <c r="K99" s="9" t="s">
        <v>39</v>
      </c>
      <c r="L99" s="9">
        <v>0.0</v>
      </c>
      <c r="M99" s="9">
        <v>18.91</v>
      </c>
      <c r="N99" s="9">
        <v>24.2</v>
      </c>
      <c r="O99" s="9">
        <v>0.0362</v>
      </c>
      <c r="P99" s="9">
        <v>0.0049</v>
      </c>
      <c r="Q99" s="9">
        <v>0.0411</v>
      </c>
      <c r="R99" s="9">
        <v>0.1572</v>
      </c>
      <c r="S99" s="9">
        <v>0.2495</v>
      </c>
      <c r="T99" s="9" t="b">
        <v>1</v>
      </c>
      <c r="U99" s="9" t="b">
        <v>1</v>
      </c>
      <c r="V99" s="9"/>
      <c r="W99" s="9">
        <v>1.0</v>
      </c>
      <c r="X99" s="10" t="s">
        <v>43</v>
      </c>
      <c r="Y99" s="9"/>
      <c r="Z99" s="9"/>
    </row>
    <row r="100">
      <c r="A100" s="9" t="s">
        <v>49</v>
      </c>
      <c r="B100" s="9" t="s">
        <v>47</v>
      </c>
      <c r="C100" s="9">
        <v>47514.0</v>
      </c>
      <c r="D100" s="9" t="s">
        <v>2313</v>
      </c>
      <c r="E100" s="9" t="s">
        <v>51</v>
      </c>
      <c r="F100" s="9">
        <v>10.9</v>
      </c>
      <c r="G100" s="9">
        <v>18.0</v>
      </c>
      <c r="H100" s="9">
        <v>7.1</v>
      </c>
      <c r="I100" s="9">
        <v>5.0</v>
      </c>
      <c r="J100" s="9">
        <v>51.0</v>
      </c>
      <c r="K100" s="9">
        <v>17.03</v>
      </c>
      <c r="L100" s="9">
        <v>0.2549</v>
      </c>
      <c r="M100" s="9">
        <v>11.74</v>
      </c>
      <c r="N100" s="9">
        <v>10.9</v>
      </c>
      <c r="O100" s="9">
        <v>0.0196</v>
      </c>
      <c r="P100" s="9">
        <v>0.0261</v>
      </c>
      <c r="Q100" s="9">
        <v>0.0457</v>
      </c>
      <c r="R100" s="9">
        <v>0.2157</v>
      </c>
      <c r="S100" s="9">
        <v>0.4118</v>
      </c>
      <c r="T100" s="9" t="b">
        <v>1</v>
      </c>
      <c r="U100" s="9" t="b">
        <v>1</v>
      </c>
      <c r="V100" s="9"/>
      <c r="W100" s="9">
        <v>1.0</v>
      </c>
      <c r="X100" s="10" t="s">
        <v>43</v>
      </c>
      <c r="Y100" s="9"/>
      <c r="Z100" s="9"/>
    </row>
    <row r="101">
      <c r="A101" s="9" t="s">
        <v>432</v>
      </c>
      <c r="B101" s="9" t="s">
        <v>47</v>
      </c>
      <c r="C101" s="9">
        <v>568456.0</v>
      </c>
      <c r="D101" s="9" t="s">
        <v>2318</v>
      </c>
      <c r="E101" s="9" t="s">
        <v>51</v>
      </c>
      <c r="F101" s="9">
        <v>7.88</v>
      </c>
      <c r="G101" s="9">
        <v>14.96</v>
      </c>
      <c r="H101" s="9">
        <v>7.08</v>
      </c>
      <c r="I101" s="9">
        <v>4.16</v>
      </c>
      <c r="J101" s="9">
        <v>28.0</v>
      </c>
      <c r="K101" s="9">
        <v>24.15</v>
      </c>
      <c r="L101" s="9">
        <v>0.25</v>
      </c>
      <c r="M101" s="9">
        <v>11.74</v>
      </c>
      <c r="N101" s="9">
        <v>7.88</v>
      </c>
      <c r="O101" s="9">
        <v>0.0</v>
      </c>
      <c r="P101" s="9">
        <v>0.0</v>
      </c>
      <c r="Q101" s="9">
        <v>0.0</v>
      </c>
      <c r="R101" s="9">
        <v>0.1429</v>
      </c>
      <c r="S101" s="9">
        <v>0.4286</v>
      </c>
      <c r="T101" s="9" t="b">
        <v>1</v>
      </c>
      <c r="U101" s="9" t="b">
        <v>1</v>
      </c>
      <c r="V101" s="9"/>
      <c r="W101" s="9">
        <v>1.0</v>
      </c>
      <c r="X101" s="10" t="s">
        <v>43</v>
      </c>
      <c r="Y101" s="9"/>
      <c r="Z101" s="9"/>
    </row>
    <row r="102">
      <c r="A102" s="9" t="s">
        <v>1600</v>
      </c>
      <c r="B102" s="9" t="s">
        <v>44</v>
      </c>
      <c r="C102" s="9">
        <v>282865.0</v>
      </c>
      <c r="D102" s="9" t="s">
        <v>2323</v>
      </c>
      <c r="E102" s="9" t="s">
        <v>51</v>
      </c>
      <c r="F102" s="9">
        <v>19.95</v>
      </c>
      <c r="G102" s="9">
        <v>26.99</v>
      </c>
      <c r="H102" s="9">
        <v>7.04</v>
      </c>
      <c r="I102" s="9">
        <v>7.34</v>
      </c>
      <c r="J102" s="9">
        <v>263.0</v>
      </c>
      <c r="K102" s="9" t="s">
        <v>39</v>
      </c>
      <c r="L102" s="9">
        <v>0.0</v>
      </c>
      <c r="M102" s="9">
        <v>18.91</v>
      </c>
      <c r="N102" s="9">
        <v>19.95</v>
      </c>
      <c r="O102" s="9">
        <v>0.0323</v>
      </c>
      <c r="P102" s="9">
        <v>0.0577</v>
      </c>
      <c r="Q102" s="9">
        <v>0.09</v>
      </c>
      <c r="R102" s="9">
        <v>0.1141</v>
      </c>
      <c r="S102" s="9">
        <v>0.3612</v>
      </c>
      <c r="T102" s="9" t="b">
        <v>1</v>
      </c>
      <c r="U102" s="9" t="b">
        <v>1</v>
      </c>
      <c r="V102" s="9"/>
      <c r="W102" s="9">
        <v>1.0</v>
      </c>
      <c r="X102" s="10" t="s">
        <v>43</v>
      </c>
      <c r="Y102" s="9"/>
      <c r="Z102" s="9"/>
    </row>
    <row r="103">
      <c r="A103" s="9" t="s">
        <v>956</v>
      </c>
      <c r="B103" s="9" t="s">
        <v>47</v>
      </c>
      <c r="C103" s="9">
        <v>564190.0</v>
      </c>
      <c r="D103" s="9" t="s">
        <v>2329</v>
      </c>
      <c r="E103" s="9" t="s">
        <v>51</v>
      </c>
      <c r="F103" s="9">
        <v>11.17</v>
      </c>
      <c r="G103" s="9">
        <v>21.26</v>
      </c>
      <c r="H103" s="9">
        <v>10.09</v>
      </c>
      <c r="I103" s="9">
        <v>4.81</v>
      </c>
      <c r="J103" s="9">
        <v>47.0</v>
      </c>
      <c r="K103" s="9">
        <v>15.52</v>
      </c>
      <c r="L103" s="9">
        <v>0.234</v>
      </c>
      <c r="M103" s="9">
        <v>10.49</v>
      </c>
      <c r="N103" s="9">
        <v>11.17</v>
      </c>
      <c r="O103" s="9">
        <v>0.0</v>
      </c>
      <c r="P103" s="9">
        <v>0.0355</v>
      </c>
      <c r="Q103" s="9">
        <v>0.0355</v>
      </c>
      <c r="R103" s="9">
        <v>0.234</v>
      </c>
      <c r="S103" s="9">
        <v>0.3617</v>
      </c>
      <c r="T103" s="9" t="b">
        <v>1</v>
      </c>
      <c r="U103" s="9" t="b">
        <v>1</v>
      </c>
      <c r="V103" s="9" t="b">
        <v>1</v>
      </c>
      <c r="W103" s="9">
        <v>1.0</v>
      </c>
      <c r="X103" s="10" t="s">
        <v>43</v>
      </c>
      <c r="Y103" s="9"/>
      <c r="Z103" s="9"/>
    </row>
    <row r="104">
      <c r="A104" s="9" t="s">
        <v>1580</v>
      </c>
      <c r="B104" s="9" t="s">
        <v>44</v>
      </c>
      <c r="C104" s="9">
        <v>538290.0</v>
      </c>
      <c r="D104" s="9" t="s">
        <v>2332</v>
      </c>
      <c r="E104" s="9" t="s">
        <v>51</v>
      </c>
      <c r="F104" s="9">
        <v>6.34</v>
      </c>
      <c r="G104" s="9">
        <v>13.23</v>
      </c>
      <c r="H104" s="9">
        <v>6.89</v>
      </c>
      <c r="I104" s="9">
        <v>1.07</v>
      </c>
      <c r="J104" s="9">
        <v>102.0</v>
      </c>
      <c r="K104" s="9">
        <v>18.06</v>
      </c>
      <c r="L104" s="9">
        <v>0.951</v>
      </c>
      <c r="M104" s="9">
        <v>7.9</v>
      </c>
      <c r="N104" s="9">
        <v>6.34</v>
      </c>
      <c r="O104" s="9">
        <v>0.0049</v>
      </c>
      <c r="P104" s="9">
        <v>0.0033</v>
      </c>
      <c r="Q104" s="9">
        <v>0.0082</v>
      </c>
      <c r="R104" s="9">
        <v>0.4314</v>
      </c>
      <c r="S104" s="9">
        <v>0.0784</v>
      </c>
      <c r="T104" s="9" t="b">
        <v>1</v>
      </c>
      <c r="U104" s="9" t="b">
        <v>1</v>
      </c>
      <c r="V104" s="9"/>
      <c r="W104" s="9">
        <v>1.0</v>
      </c>
      <c r="X104" s="10" t="s">
        <v>43</v>
      </c>
      <c r="Y104" s="9"/>
      <c r="Z104" s="9"/>
    </row>
    <row r="105">
      <c r="A105" s="9" t="s">
        <v>86</v>
      </c>
      <c r="B105" s="9" t="s">
        <v>44</v>
      </c>
      <c r="C105" s="9">
        <v>587166.0</v>
      </c>
      <c r="D105" s="9" t="s">
        <v>774</v>
      </c>
      <c r="E105" s="9" t="s">
        <v>51</v>
      </c>
      <c r="F105" s="9">
        <v>11.72</v>
      </c>
      <c r="G105" s="9">
        <v>18.52</v>
      </c>
      <c r="H105" s="9">
        <v>6.8</v>
      </c>
      <c r="I105" s="9">
        <v>3.12</v>
      </c>
      <c r="J105" s="9">
        <v>316.0</v>
      </c>
      <c r="K105" s="9" t="s">
        <v>39</v>
      </c>
      <c r="L105" s="9">
        <v>0.0</v>
      </c>
      <c r="M105" s="9">
        <v>12.79</v>
      </c>
      <c r="N105" s="9">
        <v>11.72</v>
      </c>
      <c r="O105" s="9">
        <v>0.019</v>
      </c>
      <c r="P105" s="9">
        <v>0.01</v>
      </c>
      <c r="Q105" s="9">
        <v>0.029</v>
      </c>
      <c r="R105" s="9">
        <v>0.2753</v>
      </c>
      <c r="S105" s="9">
        <v>0.307</v>
      </c>
      <c r="T105" s="9" t="b">
        <v>1</v>
      </c>
      <c r="U105" s="9" t="b">
        <v>1</v>
      </c>
      <c r="V105" s="9"/>
      <c r="W105" s="9">
        <v>1.0</v>
      </c>
      <c r="X105" s="10" t="s">
        <v>43</v>
      </c>
      <c r="Y105" s="9"/>
      <c r="Z105" s="9"/>
    </row>
    <row r="106">
      <c r="A106" s="9" t="s">
        <v>956</v>
      </c>
      <c r="B106" s="9" t="s">
        <v>47</v>
      </c>
      <c r="C106" s="9">
        <v>564179.0</v>
      </c>
      <c r="D106" s="9" t="s">
        <v>2338</v>
      </c>
      <c r="E106" s="9" t="s">
        <v>51</v>
      </c>
      <c r="F106" s="9">
        <v>11.17</v>
      </c>
      <c r="G106" s="9">
        <v>16.8</v>
      </c>
      <c r="H106" s="9">
        <v>5.63</v>
      </c>
      <c r="I106" s="9">
        <v>3.47</v>
      </c>
      <c r="J106" s="9">
        <v>35.0</v>
      </c>
      <c r="K106" s="9">
        <v>14.3</v>
      </c>
      <c r="L106" s="9">
        <v>0.6286</v>
      </c>
      <c r="M106" s="9">
        <v>10.49</v>
      </c>
      <c r="N106" s="9">
        <v>11.17</v>
      </c>
      <c r="O106" s="9">
        <v>0.0</v>
      </c>
      <c r="P106" s="9">
        <v>0.0095</v>
      </c>
      <c r="Q106" s="9">
        <v>0.0095</v>
      </c>
      <c r="R106" s="9">
        <v>0.3429</v>
      </c>
      <c r="S106" s="9">
        <v>0.3429</v>
      </c>
      <c r="T106" s="9" t="b">
        <v>1</v>
      </c>
      <c r="U106" s="9" t="b">
        <v>1</v>
      </c>
      <c r="V106" s="9" t="b">
        <v>1</v>
      </c>
      <c r="W106" s="9">
        <v>1.0</v>
      </c>
      <c r="X106" s="10" t="s">
        <v>43</v>
      </c>
      <c r="Y106" s="9"/>
      <c r="Z106" s="9"/>
    </row>
    <row r="107">
      <c r="A107" s="9" t="s">
        <v>1306</v>
      </c>
      <c r="B107" s="9" t="s">
        <v>47</v>
      </c>
      <c r="C107" s="9">
        <v>313789.0</v>
      </c>
      <c r="D107" s="9" t="s">
        <v>2339</v>
      </c>
      <c r="E107" s="9" t="s">
        <v>51</v>
      </c>
      <c r="F107" s="9">
        <v>13.55</v>
      </c>
      <c r="G107" s="9">
        <v>20.31</v>
      </c>
      <c r="H107" s="9">
        <v>6.76</v>
      </c>
      <c r="I107" s="9">
        <v>3.88</v>
      </c>
      <c r="J107" s="9">
        <v>49.0</v>
      </c>
      <c r="K107" s="9" t="s">
        <v>39</v>
      </c>
      <c r="L107" s="9">
        <v>0.0</v>
      </c>
      <c r="M107" s="9">
        <v>18.91</v>
      </c>
      <c r="N107" s="9">
        <v>13.55</v>
      </c>
      <c r="O107" s="9">
        <v>0.0</v>
      </c>
      <c r="P107" s="9">
        <v>0.0102</v>
      </c>
      <c r="Q107" s="9">
        <v>0.0102</v>
      </c>
      <c r="R107" s="9">
        <v>0.1837</v>
      </c>
      <c r="S107" s="9">
        <v>0.3265</v>
      </c>
      <c r="T107" s="9" t="b">
        <v>1</v>
      </c>
      <c r="U107" s="9" t="b">
        <v>1</v>
      </c>
      <c r="V107" s="9"/>
      <c r="W107" s="9">
        <v>1.0</v>
      </c>
      <c r="X107" s="10" t="s">
        <v>43</v>
      </c>
      <c r="Y107" s="9"/>
      <c r="Z107" s="9"/>
    </row>
    <row r="108">
      <c r="A108" s="9" t="s">
        <v>1793</v>
      </c>
      <c r="B108" s="9" t="s">
        <v>88</v>
      </c>
      <c r="C108" s="9">
        <v>11523.0</v>
      </c>
      <c r="D108" s="9" t="s">
        <v>2341</v>
      </c>
      <c r="E108" s="9" t="s">
        <v>51</v>
      </c>
      <c r="F108" s="9">
        <v>9.3</v>
      </c>
      <c r="G108" s="9">
        <v>16.02</v>
      </c>
      <c r="H108" s="9">
        <v>6.72</v>
      </c>
      <c r="I108" s="9">
        <v>5.75</v>
      </c>
      <c r="J108" s="9">
        <v>86.0</v>
      </c>
      <c r="K108" s="9" t="s">
        <v>39</v>
      </c>
      <c r="L108" s="9">
        <v>0.0</v>
      </c>
      <c r="M108" s="9">
        <v>11.94</v>
      </c>
      <c r="N108" s="9">
        <v>16.02</v>
      </c>
      <c r="O108" s="9">
        <v>0.0233</v>
      </c>
      <c r="P108" s="9">
        <v>0.0097</v>
      </c>
      <c r="Q108" s="9">
        <v>0.033</v>
      </c>
      <c r="R108" s="9">
        <v>0.2209</v>
      </c>
      <c r="S108" s="9">
        <v>0.4302</v>
      </c>
      <c r="T108" s="9" t="b">
        <v>1</v>
      </c>
      <c r="U108" s="9" t="b">
        <v>1</v>
      </c>
      <c r="V108" s="9"/>
      <c r="W108" s="9">
        <v>1.0</v>
      </c>
      <c r="X108" s="10" t="s">
        <v>43</v>
      </c>
      <c r="Y108" s="9"/>
      <c r="Z108" s="9"/>
    </row>
    <row r="109">
      <c r="A109" s="9" t="s">
        <v>956</v>
      </c>
      <c r="B109" s="9" t="s">
        <v>47</v>
      </c>
      <c r="C109" s="9">
        <v>564182.0</v>
      </c>
      <c r="D109" s="9" t="s">
        <v>2343</v>
      </c>
      <c r="E109" s="9" t="s">
        <v>51</v>
      </c>
      <c r="F109" s="9">
        <v>11.17</v>
      </c>
      <c r="G109" s="9">
        <v>18.16</v>
      </c>
      <c r="H109" s="9">
        <v>6.99</v>
      </c>
      <c r="I109" s="9">
        <v>2.89</v>
      </c>
      <c r="J109" s="9">
        <v>43.0</v>
      </c>
      <c r="K109" s="9">
        <v>13.53</v>
      </c>
      <c r="L109" s="9">
        <v>0.1628</v>
      </c>
      <c r="M109" s="9">
        <v>10.49</v>
      </c>
      <c r="N109" s="9">
        <v>11.17</v>
      </c>
      <c r="O109" s="9">
        <v>0.0</v>
      </c>
      <c r="P109" s="9">
        <v>0.0116</v>
      </c>
      <c r="Q109" s="9">
        <v>0.0116</v>
      </c>
      <c r="R109" s="9">
        <v>0.3721</v>
      </c>
      <c r="S109" s="9">
        <v>0.2791</v>
      </c>
      <c r="T109" s="9" t="b">
        <v>1</v>
      </c>
      <c r="U109" s="9" t="b">
        <v>1</v>
      </c>
      <c r="V109" s="9" t="b">
        <v>1</v>
      </c>
      <c r="W109" s="9">
        <v>1.0</v>
      </c>
      <c r="X109" s="10" t="s">
        <v>43</v>
      </c>
      <c r="Y109" s="9"/>
      <c r="Z109" s="9"/>
    </row>
    <row r="110">
      <c r="A110" s="9" t="s">
        <v>385</v>
      </c>
      <c r="B110" s="9" t="s">
        <v>47</v>
      </c>
      <c r="C110" s="9">
        <v>545732.0</v>
      </c>
      <c r="D110" s="9" t="s">
        <v>2345</v>
      </c>
      <c r="E110" s="9" t="s">
        <v>51</v>
      </c>
      <c r="F110" s="9">
        <v>9.4</v>
      </c>
      <c r="G110" s="9">
        <v>16.06</v>
      </c>
      <c r="H110" s="9">
        <v>6.66</v>
      </c>
      <c r="I110" s="9">
        <v>2.63</v>
      </c>
      <c r="J110" s="9">
        <v>53.0</v>
      </c>
      <c r="K110" s="9">
        <v>17.01</v>
      </c>
      <c r="L110" s="9">
        <v>0.6415</v>
      </c>
      <c r="M110" s="9">
        <v>10.49</v>
      </c>
      <c r="N110" s="9">
        <v>9.4</v>
      </c>
      <c r="O110" s="9">
        <v>0.0</v>
      </c>
      <c r="P110" s="9">
        <v>0.0126</v>
      </c>
      <c r="Q110" s="9">
        <v>0.0126</v>
      </c>
      <c r="R110" s="9">
        <v>0.283</v>
      </c>
      <c r="S110" s="9">
        <v>0.2642</v>
      </c>
      <c r="T110" s="9" t="b">
        <v>1</v>
      </c>
      <c r="U110" s="9" t="b">
        <v>1</v>
      </c>
      <c r="V110" s="9"/>
      <c r="W110" s="9">
        <v>1.0</v>
      </c>
      <c r="X110" s="10" t="s">
        <v>43</v>
      </c>
      <c r="Y110" s="9"/>
      <c r="Z110" s="9"/>
    </row>
    <row r="111">
      <c r="A111" s="9" t="s">
        <v>1600</v>
      </c>
      <c r="B111" s="9" t="s">
        <v>44</v>
      </c>
      <c r="C111" s="9">
        <v>133625.0</v>
      </c>
      <c r="D111" s="9" t="s">
        <v>2346</v>
      </c>
      <c r="E111" s="9" t="s">
        <v>51</v>
      </c>
      <c r="F111" s="9">
        <v>19.95</v>
      </c>
      <c r="G111" s="9">
        <v>26.6</v>
      </c>
      <c r="H111" s="9">
        <v>6.65</v>
      </c>
      <c r="I111" s="9">
        <v>2.95</v>
      </c>
      <c r="J111" s="9">
        <v>272.0</v>
      </c>
      <c r="K111" s="9" t="s">
        <v>39</v>
      </c>
      <c r="L111" s="9">
        <v>0.0</v>
      </c>
      <c r="M111" s="9">
        <v>18.91</v>
      </c>
      <c r="N111" s="9">
        <v>19.95</v>
      </c>
      <c r="O111" s="9">
        <v>0.0165</v>
      </c>
      <c r="P111" s="9">
        <v>0.0227</v>
      </c>
      <c r="Q111" s="9">
        <v>0.0392</v>
      </c>
      <c r="R111" s="9">
        <v>0.3493</v>
      </c>
      <c r="S111" s="9">
        <v>0.25</v>
      </c>
      <c r="T111" s="9" t="b">
        <v>1</v>
      </c>
      <c r="U111" s="9" t="b">
        <v>1</v>
      </c>
      <c r="V111" s="9"/>
      <c r="W111" s="9">
        <v>1.0</v>
      </c>
      <c r="X111" s="10" t="s">
        <v>43</v>
      </c>
      <c r="Y111" s="9"/>
      <c r="Z111" s="9"/>
    </row>
    <row r="112">
      <c r="A112" s="9" t="s">
        <v>1600</v>
      </c>
      <c r="B112" s="9" t="s">
        <v>88</v>
      </c>
      <c r="C112" s="9">
        <v>319541.0</v>
      </c>
      <c r="D112" s="9" t="s">
        <v>2348</v>
      </c>
      <c r="E112" s="9" t="s">
        <v>51</v>
      </c>
      <c r="F112" s="9">
        <v>16.58</v>
      </c>
      <c r="G112" s="9">
        <v>23.22</v>
      </c>
      <c r="H112" s="9">
        <v>6.64</v>
      </c>
      <c r="I112" s="9">
        <v>1.46</v>
      </c>
      <c r="J112" s="9">
        <v>129.0</v>
      </c>
      <c r="K112" s="9" t="s">
        <v>39</v>
      </c>
      <c r="L112" s="9">
        <v>0.0</v>
      </c>
      <c r="M112" s="9">
        <v>18.91</v>
      </c>
      <c r="N112" s="9">
        <v>16.58</v>
      </c>
      <c r="O112" s="9">
        <v>0.0155</v>
      </c>
      <c r="P112" s="9">
        <v>0.0</v>
      </c>
      <c r="Q112" s="9">
        <v>0.0155</v>
      </c>
      <c r="R112" s="9">
        <v>0.4651</v>
      </c>
      <c r="S112" s="9">
        <v>0.1473</v>
      </c>
      <c r="T112" s="9" t="b">
        <v>1</v>
      </c>
      <c r="U112" s="9" t="b">
        <v>1</v>
      </c>
      <c r="V112" s="9"/>
      <c r="W112" s="9">
        <v>1.0</v>
      </c>
      <c r="X112" s="10" t="s">
        <v>43</v>
      </c>
      <c r="Y112" s="9"/>
      <c r="Z112" s="9"/>
    </row>
    <row r="113">
      <c r="A113" s="9" t="s">
        <v>258</v>
      </c>
      <c r="B113" s="9" t="s">
        <v>47</v>
      </c>
      <c r="C113" s="9">
        <v>264960.0</v>
      </c>
      <c r="D113" s="9" t="s">
        <v>2350</v>
      </c>
      <c r="E113" s="9" t="s">
        <v>51</v>
      </c>
      <c r="F113" s="9">
        <v>23.19</v>
      </c>
      <c r="G113" s="9">
        <v>29.83</v>
      </c>
      <c r="H113" s="9">
        <v>6.64</v>
      </c>
      <c r="I113" s="9">
        <v>2.99</v>
      </c>
      <c r="J113" s="9">
        <v>42.0</v>
      </c>
      <c r="K113" s="9">
        <v>31.11</v>
      </c>
      <c r="L113" s="9">
        <v>0.9524</v>
      </c>
      <c r="M113" s="9">
        <v>17.64</v>
      </c>
      <c r="N113" s="9">
        <v>23.19</v>
      </c>
      <c r="O113" s="9">
        <v>0.0476</v>
      </c>
      <c r="P113" s="9">
        <v>0.0238</v>
      </c>
      <c r="Q113" s="9">
        <v>0.0714</v>
      </c>
      <c r="R113" s="9">
        <v>0.3571</v>
      </c>
      <c r="S113" s="9">
        <v>0.2381</v>
      </c>
      <c r="T113" s="9" t="b">
        <v>1</v>
      </c>
      <c r="U113" s="9" t="b">
        <v>1</v>
      </c>
      <c r="V113" s="9"/>
      <c r="W113" s="9">
        <v>1.0</v>
      </c>
      <c r="X113" s="10" t="s">
        <v>43</v>
      </c>
      <c r="Y113" s="9"/>
      <c r="Z113" s="9"/>
    </row>
    <row r="114">
      <c r="A114" s="9" t="s">
        <v>57</v>
      </c>
      <c r="B114" s="9" t="s">
        <v>47</v>
      </c>
      <c r="C114" s="9">
        <v>623830.0</v>
      </c>
      <c r="D114" s="9" t="s">
        <v>2351</v>
      </c>
      <c r="E114" s="9" t="s">
        <v>51</v>
      </c>
      <c r="F114" s="9">
        <v>11.62</v>
      </c>
      <c r="G114" s="9">
        <v>18.25</v>
      </c>
      <c r="H114" s="9">
        <v>6.63</v>
      </c>
      <c r="I114" s="9">
        <v>4.72</v>
      </c>
      <c r="J114" s="9">
        <v>52.0</v>
      </c>
      <c r="K114" s="9" t="s">
        <v>39</v>
      </c>
      <c r="L114" s="9">
        <v>0.0</v>
      </c>
      <c r="M114" s="9">
        <v>14.44</v>
      </c>
      <c r="N114" s="9">
        <v>11.71</v>
      </c>
      <c r="O114" s="9">
        <v>0.0</v>
      </c>
      <c r="P114" s="9">
        <v>0.0385</v>
      </c>
      <c r="Q114" s="9">
        <v>0.0385</v>
      </c>
      <c r="R114" s="9">
        <v>0.2308</v>
      </c>
      <c r="S114" s="9">
        <v>0.2885</v>
      </c>
      <c r="T114" s="9" t="b">
        <v>1</v>
      </c>
      <c r="U114" s="9" t="b">
        <v>1</v>
      </c>
      <c r="V114" s="9"/>
      <c r="W114" s="9">
        <v>1.0</v>
      </c>
      <c r="X114" s="10" t="s">
        <v>43</v>
      </c>
      <c r="Y114" s="9"/>
      <c r="Z114" s="9"/>
    </row>
    <row r="115">
      <c r="A115" s="9" t="s">
        <v>1600</v>
      </c>
      <c r="B115" s="9" t="s">
        <v>88</v>
      </c>
      <c r="C115" s="9">
        <v>582981.0</v>
      </c>
      <c r="D115" s="9" t="s">
        <v>2353</v>
      </c>
      <c r="E115" s="9" t="s">
        <v>51</v>
      </c>
      <c r="F115" s="9">
        <v>16.58</v>
      </c>
      <c r="G115" s="9">
        <v>23.18</v>
      </c>
      <c r="H115" s="9">
        <v>6.6</v>
      </c>
      <c r="I115" s="9">
        <v>2.76</v>
      </c>
      <c r="J115" s="9">
        <v>153.0</v>
      </c>
      <c r="K115" s="9" t="s">
        <v>39</v>
      </c>
      <c r="L115" s="9">
        <v>0.0</v>
      </c>
      <c r="M115" s="9">
        <v>18.91</v>
      </c>
      <c r="N115" s="9">
        <v>16.58</v>
      </c>
      <c r="O115" s="9">
        <v>0.0065</v>
      </c>
      <c r="P115" s="9">
        <v>0.0131</v>
      </c>
      <c r="Q115" s="9">
        <v>0.0196</v>
      </c>
      <c r="R115" s="9">
        <v>0.3595</v>
      </c>
      <c r="S115" s="9">
        <v>0.2614</v>
      </c>
      <c r="T115" s="9" t="b">
        <v>1</v>
      </c>
      <c r="U115" s="9" t="b">
        <v>1</v>
      </c>
      <c r="V115" s="9"/>
      <c r="W115" s="9">
        <v>1.0</v>
      </c>
      <c r="X115" s="10" t="s">
        <v>43</v>
      </c>
      <c r="Y115" s="9"/>
      <c r="Z115" s="9"/>
    </row>
    <row r="116">
      <c r="A116" s="9" t="s">
        <v>700</v>
      </c>
      <c r="B116" s="9" t="s">
        <v>47</v>
      </c>
      <c r="C116" s="9">
        <v>601027.0</v>
      </c>
      <c r="D116" s="9" t="s">
        <v>2355</v>
      </c>
      <c r="E116" s="9" t="s">
        <v>25</v>
      </c>
      <c r="F116" s="9">
        <v>11.24</v>
      </c>
      <c r="G116" s="9">
        <v>17.81</v>
      </c>
      <c r="H116" s="9">
        <v>6.57</v>
      </c>
      <c r="I116" s="9">
        <v>5.1</v>
      </c>
      <c r="J116" s="9">
        <v>32.0</v>
      </c>
      <c r="K116" s="9">
        <v>11.24</v>
      </c>
      <c r="L116" s="9">
        <v>1.0</v>
      </c>
      <c r="M116" s="9">
        <v>16.5</v>
      </c>
      <c r="N116" s="9">
        <v>11.68</v>
      </c>
      <c r="O116" s="9">
        <v>0.0</v>
      </c>
      <c r="P116" s="9">
        <v>0.0</v>
      </c>
      <c r="Q116" s="9">
        <v>0.0</v>
      </c>
      <c r="R116" s="9">
        <v>0.3125</v>
      </c>
      <c r="S116" s="9">
        <v>0.5</v>
      </c>
      <c r="T116" s="9" t="b">
        <v>1</v>
      </c>
      <c r="U116" s="9" t="b">
        <v>1</v>
      </c>
      <c r="V116" s="9"/>
      <c r="W116" s="9">
        <v>1.0</v>
      </c>
      <c r="X116" s="10" t="s">
        <v>43</v>
      </c>
      <c r="Y116" s="9"/>
      <c r="Z116" s="9"/>
    </row>
    <row r="117">
      <c r="A117" s="9" t="s">
        <v>39</v>
      </c>
      <c r="B117" s="9" t="s">
        <v>666</v>
      </c>
      <c r="C117" s="9">
        <v>100697.0</v>
      </c>
      <c r="D117" s="9" t="s">
        <v>2357</v>
      </c>
      <c r="E117" s="9" t="s">
        <v>965</v>
      </c>
      <c r="F117" s="9">
        <v>10.04</v>
      </c>
      <c r="G117" s="9">
        <v>16.58</v>
      </c>
      <c r="H117" s="9">
        <v>6.54</v>
      </c>
      <c r="I117" s="9">
        <v>3.46</v>
      </c>
      <c r="J117" s="9">
        <v>423.0</v>
      </c>
      <c r="K117" s="9">
        <v>15.95</v>
      </c>
      <c r="L117" s="9">
        <v>0.6336</v>
      </c>
      <c r="M117" s="9">
        <v>11.74</v>
      </c>
      <c r="N117" s="9">
        <v>16.58</v>
      </c>
      <c r="O117" s="9">
        <v>0.0047</v>
      </c>
      <c r="P117" s="9">
        <v>0.0177</v>
      </c>
      <c r="Q117" s="9">
        <v>0.0224</v>
      </c>
      <c r="R117" s="9">
        <v>0.4232</v>
      </c>
      <c r="S117" s="9">
        <v>0.3097</v>
      </c>
      <c r="T117" s="9" t="b">
        <v>1</v>
      </c>
      <c r="U117" s="9" t="b">
        <v>1</v>
      </c>
      <c r="V117" s="9"/>
      <c r="W117" s="9">
        <v>1.0</v>
      </c>
      <c r="X117" s="10" t="s">
        <v>43</v>
      </c>
      <c r="Y117" s="9"/>
      <c r="Z117" s="9"/>
    </row>
    <row r="118">
      <c r="A118" s="9" t="s">
        <v>1306</v>
      </c>
      <c r="B118" s="9" t="s">
        <v>666</v>
      </c>
      <c r="C118" s="9">
        <v>205374.0</v>
      </c>
      <c r="D118" s="9" t="s">
        <v>2358</v>
      </c>
      <c r="E118" s="9" t="s">
        <v>51</v>
      </c>
      <c r="F118" s="9">
        <v>10.89</v>
      </c>
      <c r="G118" s="9">
        <v>17.42</v>
      </c>
      <c r="H118" s="9">
        <v>6.53</v>
      </c>
      <c r="I118" s="9">
        <v>3.7</v>
      </c>
      <c r="J118" s="9">
        <v>459.0</v>
      </c>
      <c r="K118" s="9">
        <v>32.12</v>
      </c>
      <c r="L118" s="9">
        <v>0.0153</v>
      </c>
      <c r="M118" s="9">
        <v>18.91</v>
      </c>
      <c r="N118" s="9">
        <v>10.89</v>
      </c>
      <c r="O118" s="9">
        <v>0.0033</v>
      </c>
      <c r="P118" s="9">
        <v>0.0105</v>
      </c>
      <c r="Q118" s="9">
        <v>0.0138</v>
      </c>
      <c r="R118" s="9">
        <v>0.1874</v>
      </c>
      <c r="S118" s="9">
        <v>0.342</v>
      </c>
      <c r="T118" s="9" t="b">
        <v>1</v>
      </c>
      <c r="U118" s="9" t="b">
        <v>1</v>
      </c>
      <c r="V118" s="9"/>
      <c r="W118" s="9">
        <v>1.0</v>
      </c>
      <c r="X118" s="10" t="s">
        <v>43</v>
      </c>
      <c r="Y118" s="9"/>
      <c r="Z118" s="9"/>
    </row>
    <row r="119">
      <c r="A119" s="9" t="s">
        <v>413</v>
      </c>
      <c r="B119" s="9" t="s">
        <v>47</v>
      </c>
      <c r="C119" s="9">
        <v>66236.0</v>
      </c>
      <c r="D119" s="9" t="s">
        <v>2360</v>
      </c>
      <c r="E119" s="9" t="s">
        <v>42</v>
      </c>
      <c r="F119" s="9">
        <v>14.21</v>
      </c>
      <c r="G119" s="9">
        <v>20.74</v>
      </c>
      <c r="H119" s="9">
        <v>6.53</v>
      </c>
      <c r="I119" s="9">
        <v>4.48</v>
      </c>
      <c r="J119" s="9">
        <v>68.0</v>
      </c>
      <c r="K119" s="9" t="s">
        <v>39</v>
      </c>
      <c r="L119" s="9">
        <v>0.0</v>
      </c>
      <c r="M119" s="9">
        <v>14.21</v>
      </c>
      <c r="N119" s="9">
        <v>14.32</v>
      </c>
      <c r="O119" s="9">
        <v>0.1103</v>
      </c>
      <c r="P119" s="9">
        <v>0.0343</v>
      </c>
      <c r="Q119" s="9">
        <v>0.1446</v>
      </c>
      <c r="R119" s="9">
        <v>0.1029</v>
      </c>
      <c r="S119" s="9">
        <v>0.3676</v>
      </c>
      <c r="T119" s="9" t="b">
        <v>1</v>
      </c>
      <c r="U119" s="9" t="b">
        <v>1</v>
      </c>
      <c r="V119" s="9"/>
      <c r="W119" s="9">
        <v>1.0</v>
      </c>
      <c r="X119" s="10" t="s">
        <v>43</v>
      </c>
      <c r="Y119" s="9"/>
      <c r="Z119" s="9"/>
    </row>
    <row r="120">
      <c r="A120" s="9" t="s">
        <v>719</v>
      </c>
      <c r="B120" s="9" t="s">
        <v>47</v>
      </c>
      <c r="C120" s="9">
        <v>401741.0</v>
      </c>
      <c r="D120" s="9" t="s">
        <v>2362</v>
      </c>
      <c r="E120" s="9" t="s">
        <v>51</v>
      </c>
      <c r="F120" s="9">
        <v>8.18</v>
      </c>
      <c r="G120" s="9">
        <v>14.66</v>
      </c>
      <c r="H120" s="9">
        <v>6.48</v>
      </c>
      <c r="I120" s="9">
        <v>5.2</v>
      </c>
      <c r="J120" s="9">
        <v>38.0</v>
      </c>
      <c r="K120" s="9">
        <v>27.84</v>
      </c>
      <c r="L120" s="9">
        <v>0.2368</v>
      </c>
      <c r="M120" s="9">
        <v>10.49</v>
      </c>
      <c r="N120" s="9">
        <v>8.18</v>
      </c>
      <c r="O120" s="9">
        <v>0.0</v>
      </c>
      <c r="P120" s="9">
        <v>0.0</v>
      </c>
      <c r="Q120" s="9">
        <v>0.0</v>
      </c>
      <c r="R120" s="9">
        <v>0.0789</v>
      </c>
      <c r="S120" s="9">
        <v>0.3421</v>
      </c>
      <c r="T120" s="9" t="b">
        <v>1</v>
      </c>
      <c r="U120" s="9" t="b">
        <v>1</v>
      </c>
      <c r="V120" s="9"/>
      <c r="W120" s="9">
        <v>1.0</v>
      </c>
      <c r="X120" s="10" t="s">
        <v>43</v>
      </c>
      <c r="Y120" s="9"/>
      <c r="Z120" s="9"/>
    </row>
    <row r="121">
      <c r="A121" s="9" t="s">
        <v>956</v>
      </c>
      <c r="B121" s="9" t="s">
        <v>47</v>
      </c>
      <c r="C121" s="9">
        <v>564195.0</v>
      </c>
      <c r="D121" s="9" t="s">
        <v>2365</v>
      </c>
      <c r="E121" s="9" t="s">
        <v>51</v>
      </c>
      <c r="F121" s="9">
        <v>11.17</v>
      </c>
      <c r="G121" s="9">
        <v>17.94</v>
      </c>
      <c r="H121" s="9">
        <v>6.77</v>
      </c>
      <c r="I121" s="9">
        <v>4.03</v>
      </c>
      <c r="J121" s="9">
        <v>47.0</v>
      </c>
      <c r="K121" s="9" t="s">
        <v>39</v>
      </c>
      <c r="L121" s="9">
        <v>0.0</v>
      </c>
      <c r="M121" s="9">
        <v>10.49</v>
      </c>
      <c r="N121" s="9">
        <v>11.17</v>
      </c>
      <c r="O121" s="9">
        <v>0.0</v>
      </c>
      <c r="P121" s="9">
        <v>0.0</v>
      </c>
      <c r="Q121" s="9">
        <v>0.0</v>
      </c>
      <c r="R121" s="9">
        <v>0.2553</v>
      </c>
      <c r="S121" s="9">
        <v>0.4043</v>
      </c>
      <c r="T121" s="9" t="b">
        <v>1</v>
      </c>
      <c r="U121" s="9" t="b">
        <v>1</v>
      </c>
      <c r="V121" s="9" t="b">
        <v>1</v>
      </c>
      <c r="W121" s="9">
        <v>1.0</v>
      </c>
      <c r="X121" s="10" t="s">
        <v>43</v>
      </c>
      <c r="Y121" s="9"/>
      <c r="Z121" s="9"/>
    </row>
    <row r="122">
      <c r="A122" s="9" t="s">
        <v>413</v>
      </c>
      <c r="B122" s="9" t="s">
        <v>44</v>
      </c>
      <c r="C122" s="9">
        <v>380097.0</v>
      </c>
      <c r="D122" s="9" t="s">
        <v>2366</v>
      </c>
      <c r="E122" s="9" t="s">
        <v>51</v>
      </c>
      <c r="F122" s="9">
        <v>13.28</v>
      </c>
      <c r="G122" s="9">
        <v>19.75</v>
      </c>
      <c r="H122" s="9">
        <v>6.47</v>
      </c>
      <c r="I122" s="9">
        <v>3.6</v>
      </c>
      <c r="J122" s="9">
        <v>225.0</v>
      </c>
      <c r="K122" s="9" t="s">
        <v>39</v>
      </c>
      <c r="L122" s="9">
        <v>0.0</v>
      </c>
      <c r="M122" s="9">
        <v>14.21</v>
      </c>
      <c r="N122" s="9">
        <v>13.95</v>
      </c>
      <c r="O122" s="9">
        <v>0.0178</v>
      </c>
      <c r="P122" s="9">
        <v>0.0163</v>
      </c>
      <c r="Q122" s="9">
        <v>0.0341</v>
      </c>
      <c r="R122" s="9">
        <v>0.28</v>
      </c>
      <c r="S122" s="9">
        <v>0.4622</v>
      </c>
      <c r="T122" s="9" t="b">
        <v>1</v>
      </c>
      <c r="U122" s="9" t="b">
        <v>1</v>
      </c>
      <c r="V122" s="9"/>
      <c r="W122" s="9">
        <v>1.0</v>
      </c>
      <c r="X122" s="10" t="s">
        <v>43</v>
      </c>
      <c r="Y122" s="9"/>
      <c r="Z122" s="9"/>
    </row>
    <row r="123">
      <c r="A123" s="9" t="s">
        <v>956</v>
      </c>
      <c r="B123" s="9" t="s">
        <v>47</v>
      </c>
      <c r="C123" s="9">
        <v>564123.0</v>
      </c>
      <c r="D123" s="9" t="s">
        <v>2369</v>
      </c>
      <c r="E123" s="9" t="s">
        <v>51</v>
      </c>
      <c r="F123" s="9">
        <v>11.17</v>
      </c>
      <c r="G123" s="9">
        <v>17.07</v>
      </c>
      <c r="H123" s="9">
        <v>5.9</v>
      </c>
      <c r="I123" s="9">
        <v>2.94</v>
      </c>
      <c r="J123" s="9">
        <v>40.0</v>
      </c>
      <c r="K123" s="9">
        <v>12.82</v>
      </c>
      <c r="L123" s="9">
        <v>0.375</v>
      </c>
      <c r="M123" s="9">
        <v>12.79</v>
      </c>
      <c r="N123" s="9">
        <v>11.17</v>
      </c>
      <c r="O123" s="9">
        <v>0.0125</v>
      </c>
      <c r="P123" s="9">
        <v>0.0</v>
      </c>
      <c r="Q123" s="9">
        <v>0.0125</v>
      </c>
      <c r="R123" s="9">
        <v>0.5</v>
      </c>
      <c r="S123" s="9">
        <v>0.325</v>
      </c>
      <c r="T123" s="9" t="b">
        <v>1</v>
      </c>
      <c r="U123" s="9" t="b">
        <v>1</v>
      </c>
      <c r="V123" s="9" t="b">
        <v>1</v>
      </c>
      <c r="W123" s="9">
        <v>1.0</v>
      </c>
      <c r="X123" s="10" t="s">
        <v>43</v>
      </c>
      <c r="Y123" s="9"/>
      <c r="Z123" s="9"/>
    </row>
    <row r="124">
      <c r="A124" s="9" t="s">
        <v>2121</v>
      </c>
      <c r="B124" s="9" t="s">
        <v>2371</v>
      </c>
      <c r="C124" s="9">
        <v>89502.0</v>
      </c>
      <c r="D124" s="9" t="s">
        <v>2372</v>
      </c>
      <c r="E124" s="9" t="s">
        <v>25</v>
      </c>
      <c r="F124" s="9">
        <v>19.51</v>
      </c>
      <c r="G124" s="9">
        <v>25.97</v>
      </c>
      <c r="H124" s="9">
        <v>6.46</v>
      </c>
      <c r="I124" s="9">
        <v>1.42</v>
      </c>
      <c r="J124" s="9">
        <v>66.0</v>
      </c>
      <c r="K124" s="9">
        <v>19.51</v>
      </c>
      <c r="L124" s="9">
        <v>0.8333</v>
      </c>
      <c r="M124" s="9">
        <v>18.56</v>
      </c>
      <c r="N124" s="9">
        <v>25.97</v>
      </c>
      <c r="O124" s="9">
        <v>0.0492</v>
      </c>
      <c r="P124" s="9">
        <v>0.0025</v>
      </c>
      <c r="Q124" s="9">
        <v>0.0517</v>
      </c>
      <c r="R124" s="9">
        <v>0.3333</v>
      </c>
      <c r="S124" s="9">
        <v>0.0758</v>
      </c>
      <c r="T124" s="9" t="b">
        <v>1</v>
      </c>
      <c r="U124" s="9" t="b">
        <v>1</v>
      </c>
      <c r="V124" s="9"/>
      <c r="W124" s="9">
        <v>1.0</v>
      </c>
      <c r="X124" s="10" t="s">
        <v>43</v>
      </c>
      <c r="Y124" s="9"/>
      <c r="Z124" s="9"/>
    </row>
    <row r="125">
      <c r="A125" s="9" t="s">
        <v>385</v>
      </c>
      <c r="B125" s="9" t="s">
        <v>47</v>
      </c>
      <c r="C125" s="9">
        <v>315994.0</v>
      </c>
      <c r="D125" s="9" t="s">
        <v>2374</v>
      </c>
      <c r="E125" s="9" t="s">
        <v>51</v>
      </c>
      <c r="F125" s="9">
        <v>9.4</v>
      </c>
      <c r="G125" s="9">
        <v>15.81</v>
      </c>
      <c r="H125" s="9">
        <v>6.41</v>
      </c>
      <c r="I125" s="9">
        <v>4.55</v>
      </c>
      <c r="J125" s="9">
        <v>63.0</v>
      </c>
      <c r="K125" s="9">
        <v>17.88</v>
      </c>
      <c r="L125" s="9">
        <v>0.3651</v>
      </c>
      <c r="M125" s="9">
        <v>10.49</v>
      </c>
      <c r="N125" s="9">
        <v>9.4</v>
      </c>
      <c r="O125" s="9">
        <v>0.0079</v>
      </c>
      <c r="P125" s="9">
        <v>0.0053</v>
      </c>
      <c r="Q125" s="9">
        <v>0.0132</v>
      </c>
      <c r="R125" s="9">
        <v>0.1587</v>
      </c>
      <c r="S125" s="9">
        <v>0.3651</v>
      </c>
      <c r="T125" s="9" t="b">
        <v>1</v>
      </c>
      <c r="U125" s="9" t="b">
        <v>1</v>
      </c>
      <c r="V125" s="9"/>
      <c r="W125" s="9">
        <v>1.0</v>
      </c>
      <c r="X125" s="10" t="s">
        <v>43</v>
      </c>
      <c r="Y125" s="9"/>
      <c r="Z125" s="9"/>
    </row>
    <row r="126">
      <c r="A126" s="9" t="s">
        <v>2078</v>
      </c>
      <c r="B126" s="9" t="s">
        <v>47</v>
      </c>
      <c r="C126" s="9">
        <v>128638.0</v>
      </c>
      <c r="D126" s="9" t="s">
        <v>2376</v>
      </c>
      <c r="E126" s="9" t="s">
        <v>51</v>
      </c>
      <c r="F126" s="9">
        <v>12.14</v>
      </c>
      <c r="G126" s="9">
        <v>18.55</v>
      </c>
      <c r="H126" s="9">
        <v>6.41</v>
      </c>
      <c r="I126" s="9">
        <v>4.25</v>
      </c>
      <c r="J126" s="9">
        <v>42.0</v>
      </c>
      <c r="K126" s="9" t="s">
        <v>39</v>
      </c>
      <c r="L126" s="9">
        <v>0.0</v>
      </c>
      <c r="M126" s="9">
        <v>17.64</v>
      </c>
      <c r="N126" s="9">
        <v>12.14</v>
      </c>
      <c r="O126" s="9">
        <v>0.0238</v>
      </c>
      <c r="P126" s="9">
        <v>0.0079</v>
      </c>
      <c r="Q126" s="9">
        <v>0.0317</v>
      </c>
      <c r="R126" s="9">
        <v>0.1429</v>
      </c>
      <c r="S126" s="9">
        <v>0.381</v>
      </c>
      <c r="T126" s="9" t="b">
        <v>1</v>
      </c>
      <c r="U126" s="9" t="b">
        <v>1</v>
      </c>
      <c r="V126" s="9"/>
      <c r="W126" s="9">
        <v>1.0</v>
      </c>
      <c r="X126" s="10" t="s">
        <v>43</v>
      </c>
      <c r="Y126" s="9"/>
      <c r="Z126" s="9"/>
    </row>
    <row r="127">
      <c r="A127" s="9" t="s">
        <v>39</v>
      </c>
      <c r="B127" s="9" t="s">
        <v>47</v>
      </c>
      <c r="C127" s="9">
        <v>477367.0</v>
      </c>
      <c r="D127" s="9" t="s">
        <v>2378</v>
      </c>
      <c r="E127" s="9" t="s">
        <v>2284</v>
      </c>
      <c r="F127" s="9">
        <v>14.96</v>
      </c>
      <c r="G127" s="9">
        <v>21.37</v>
      </c>
      <c r="H127" s="9">
        <v>6.41</v>
      </c>
      <c r="I127" s="9">
        <v>0.57</v>
      </c>
      <c r="J127" s="9">
        <v>27.0</v>
      </c>
      <c r="K127" s="9">
        <v>15.78</v>
      </c>
      <c r="L127" s="9">
        <v>1.0</v>
      </c>
      <c r="M127" s="9">
        <v>23.21</v>
      </c>
      <c r="N127" s="9">
        <v>21.37</v>
      </c>
      <c r="O127" s="9">
        <v>0.0</v>
      </c>
      <c r="P127" s="9">
        <v>0.0</v>
      </c>
      <c r="Q127" s="9">
        <v>0.0</v>
      </c>
      <c r="R127" s="9">
        <v>0.8889</v>
      </c>
      <c r="S127" s="9">
        <v>0.0741</v>
      </c>
      <c r="T127" s="9" t="b">
        <v>1</v>
      </c>
      <c r="U127" s="9" t="b">
        <v>1</v>
      </c>
      <c r="V127" s="9"/>
      <c r="W127" s="9">
        <v>1.0</v>
      </c>
      <c r="X127" s="10" t="s">
        <v>43</v>
      </c>
      <c r="Y127" s="9"/>
      <c r="Z127" s="9"/>
    </row>
    <row r="128">
      <c r="A128" s="9" t="s">
        <v>39</v>
      </c>
      <c r="B128" s="9" t="s">
        <v>666</v>
      </c>
      <c r="C128" s="9">
        <v>120974.0</v>
      </c>
      <c r="D128" s="9" t="s">
        <v>2380</v>
      </c>
      <c r="E128" s="9" t="s">
        <v>2284</v>
      </c>
      <c r="F128" s="9">
        <v>25.65</v>
      </c>
      <c r="G128" s="9">
        <v>32.06</v>
      </c>
      <c r="H128" s="9">
        <v>6.41</v>
      </c>
      <c r="I128" s="9">
        <v>1.16</v>
      </c>
      <c r="J128" s="9">
        <v>474.0</v>
      </c>
      <c r="K128" s="9">
        <v>23.64</v>
      </c>
      <c r="L128" s="9">
        <v>0.3122</v>
      </c>
      <c r="M128" s="9">
        <v>18.91</v>
      </c>
      <c r="N128" s="9">
        <v>32.06</v>
      </c>
      <c r="O128" s="9">
        <v>0.0269</v>
      </c>
      <c r="P128" s="9">
        <v>0.0049</v>
      </c>
      <c r="Q128" s="9">
        <v>0.0318</v>
      </c>
      <c r="R128" s="9">
        <v>0.6013</v>
      </c>
      <c r="S128" s="9">
        <v>0.116</v>
      </c>
      <c r="T128" s="9" t="b">
        <v>1</v>
      </c>
      <c r="U128" s="9" t="b">
        <v>1</v>
      </c>
      <c r="V128" s="9"/>
      <c r="W128" s="9">
        <v>1.0</v>
      </c>
      <c r="X128" s="10" t="s">
        <v>43</v>
      </c>
      <c r="Y128" s="9"/>
      <c r="Z128" s="9"/>
    </row>
    <row r="129">
      <c r="A129" s="9" t="s">
        <v>956</v>
      </c>
      <c r="B129" s="9" t="s">
        <v>47</v>
      </c>
      <c r="C129" s="9">
        <v>564128.0</v>
      </c>
      <c r="D129" s="9" t="s">
        <v>2381</v>
      </c>
      <c r="E129" s="9" t="s">
        <v>51</v>
      </c>
      <c r="F129" s="9">
        <v>11.17</v>
      </c>
      <c r="G129" s="9">
        <v>16.83</v>
      </c>
      <c r="H129" s="9">
        <v>5.66</v>
      </c>
      <c r="I129" s="9">
        <v>3.78</v>
      </c>
      <c r="J129" s="9">
        <v>47.0</v>
      </c>
      <c r="K129" s="9">
        <v>18.26</v>
      </c>
      <c r="L129" s="9">
        <v>0.4894</v>
      </c>
      <c r="M129" s="9">
        <v>12.79</v>
      </c>
      <c r="N129" s="9">
        <v>11.17</v>
      </c>
      <c r="O129" s="9">
        <v>0.0</v>
      </c>
      <c r="P129" s="9">
        <v>0.0071</v>
      </c>
      <c r="Q129" s="9">
        <v>0.0071</v>
      </c>
      <c r="R129" s="9">
        <v>0.1489</v>
      </c>
      <c r="S129" s="9">
        <v>0.3404</v>
      </c>
      <c r="T129" s="9" t="b">
        <v>1</v>
      </c>
      <c r="U129" s="9" t="b">
        <v>1</v>
      </c>
      <c r="V129" s="9" t="b">
        <v>1</v>
      </c>
      <c r="W129" s="9">
        <v>1.0</v>
      </c>
      <c r="X129" s="10" t="s">
        <v>43</v>
      </c>
      <c r="Y129" s="9"/>
      <c r="Z129" s="9"/>
    </row>
    <row r="130">
      <c r="A130" s="9" t="s">
        <v>1600</v>
      </c>
      <c r="B130" s="9" t="s">
        <v>88</v>
      </c>
      <c r="C130" s="9">
        <v>307269.0</v>
      </c>
      <c r="D130" s="9" t="s">
        <v>2382</v>
      </c>
      <c r="E130" s="9" t="s">
        <v>51</v>
      </c>
      <c r="F130" s="9">
        <v>16.58</v>
      </c>
      <c r="G130" s="9">
        <v>22.97</v>
      </c>
      <c r="H130" s="9">
        <v>6.39</v>
      </c>
      <c r="I130" s="9">
        <v>1.14</v>
      </c>
      <c r="J130" s="9">
        <v>111.0</v>
      </c>
      <c r="K130" s="9" t="s">
        <v>39</v>
      </c>
      <c r="L130" s="9">
        <v>0.0</v>
      </c>
      <c r="M130" s="9">
        <v>18.91</v>
      </c>
      <c r="N130" s="9">
        <v>16.58</v>
      </c>
      <c r="O130" s="9">
        <v>0.0</v>
      </c>
      <c r="P130" s="9">
        <v>0.0</v>
      </c>
      <c r="Q130" s="9">
        <v>0.0</v>
      </c>
      <c r="R130" s="9">
        <v>0.5586</v>
      </c>
      <c r="S130" s="9">
        <v>0.0991</v>
      </c>
      <c r="T130" s="9" t="b">
        <v>1</v>
      </c>
      <c r="U130" s="9" t="b">
        <v>1</v>
      </c>
      <c r="V130" s="9"/>
      <c r="W130" s="9">
        <v>1.0</v>
      </c>
      <c r="X130" s="10" t="s">
        <v>43</v>
      </c>
      <c r="Y130" s="9"/>
      <c r="Z130" s="9"/>
    </row>
    <row r="131">
      <c r="A131" s="9" t="s">
        <v>719</v>
      </c>
      <c r="B131" s="9" t="s">
        <v>88</v>
      </c>
      <c r="C131" s="9">
        <v>632932.0</v>
      </c>
      <c r="D131" s="9" t="s">
        <v>2383</v>
      </c>
      <c r="E131" s="9" t="s">
        <v>51</v>
      </c>
      <c r="F131" s="9">
        <v>9.67</v>
      </c>
      <c r="G131" s="9">
        <v>16.0</v>
      </c>
      <c r="H131" s="9">
        <v>6.33</v>
      </c>
      <c r="I131" s="9">
        <v>3.06</v>
      </c>
      <c r="J131" s="9">
        <v>120.0</v>
      </c>
      <c r="K131" s="9">
        <v>15.43</v>
      </c>
      <c r="L131" s="9">
        <v>0.6417</v>
      </c>
      <c r="M131" s="9">
        <v>10.49</v>
      </c>
      <c r="N131" s="9">
        <v>9.67</v>
      </c>
      <c r="O131" s="9">
        <v>0.0</v>
      </c>
      <c r="P131" s="9">
        <v>0.0167</v>
      </c>
      <c r="Q131" s="9">
        <v>0.0167</v>
      </c>
      <c r="R131" s="9">
        <v>0.5583</v>
      </c>
      <c r="S131" s="9">
        <v>0.2583</v>
      </c>
      <c r="T131" s="9" t="b">
        <v>1</v>
      </c>
      <c r="U131" s="9" t="b">
        <v>1</v>
      </c>
      <c r="V131" s="9"/>
      <c r="W131" s="9">
        <v>1.0</v>
      </c>
      <c r="X131" s="10" t="s">
        <v>43</v>
      </c>
      <c r="Y131" s="9"/>
      <c r="Z131" s="9"/>
    </row>
    <row r="132">
      <c r="A132" s="9" t="s">
        <v>390</v>
      </c>
      <c r="B132" s="9" t="s">
        <v>47</v>
      </c>
      <c r="C132" s="9">
        <v>61733.0</v>
      </c>
      <c r="D132" s="9" t="s">
        <v>2384</v>
      </c>
      <c r="E132" s="9" t="s">
        <v>51</v>
      </c>
      <c r="F132" s="9">
        <v>11.44</v>
      </c>
      <c r="G132" s="9">
        <v>17.76</v>
      </c>
      <c r="H132" s="9">
        <v>6.32</v>
      </c>
      <c r="I132" s="9">
        <v>1.26</v>
      </c>
      <c r="J132" s="9">
        <v>42.0</v>
      </c>
      <c r="K132" s="9" t="s">
        <v>39</v>
      </c>
      <c r="L132" s="9">
        <v>0.0</v>
      </c>
      <c r="M132" s="9">
        <v>14.75</v>
      </c>
      <c r="N132" s="9">
        <v>11.44</v>
      </c>
      <c r="O132" s="9">
        <v>0.0298</v>
      </c>
      <c r="P132" s="9">
        <v>0.0</v>
      </c>
      <c r="Q132" s="9">
        <v>0.0298</v>
      </c>
      <c r="R132" s="9">
        <v>0.1905</v>
      </c>
      <c r="S132" s="9">
        <v>0.0952</v>
      </c>
      <c r="T132" s="9" t="b">
        <v>1</v>
      </c>
      <c r="U132" s="9" t="b">
        <v>1</v>
      </c>
      <c r="V132" s="9"/>
      <c r="W132" s="9">
        <v>1.0</v>
      </c>
      <c r="X132" s="10" t="s">
        <v>43</v>
      </c>
      <c r="Y132" s="9"/>
      <c r="Z132" s="9"/>
    </row>
    <row r="133">
      <c r="A133" s="9" t="s">
        <v>86</v>
      </c>
      <c r="B133" s="9" t="s">
        <v>666</v>
      </c>
      <c r="C133" s="9">
        <v>140569.0</v>
      </c>
      <c r="D133" s="9" t="s">
        <v>1804</v>
      </c>
      <c r="E133" s="9" t="s">
        <v>965</v>
      </c>
      <c r="F133" s="9">
        <v>10.88</v>
      </c>
      <c r="G133" s="9">
        <v>17.19</v>
      </c>
      <c r="H133" s="9">
        <v>6.31</v>
      </c>
      <c r="I133" s="9">
        <v>4.64</v>
      </c>
      <c r="J133" s="9">
        <v>338.0</v>
      </c>
      <c r="K133" s="9" t="s">
        <v>39</v>
      </c>
      <c r="L133" s="9">
        <v>0.0</v>
      </c>
      <c r="M133" s="9">
        <v>12.79</v>
      </c>
      <c r="N133" s="9">
        <v>12.91</v>
      </c>
      <c r="O133" s="9">
        <v>0.0044</v>
      </c>
      <c r="P133" s="9">
        <v>0.0227</v>
      </c>
      <c r="Q133" s="9">
        <v>0.0271</v>
      </c>
      <c r="R133" s="9">
        <v>0.1923</v>
      </c>
      <c r="S133" s="9">
        <v>0.4822</v>
      </c>
      <c r="T133" s="9" t="b">
        <v>1</v>
      </c>
      <c r="U133" s="9" t="b">
        <v>1</v>
      </c>
      <c r="V133" s="9"/>
      <c r="W133" s="9">
        <v>1.0</v>
      </c>
      <c r="X133" s="10" t="s">
        <v>43</v>
      </c>
      <c r="Y133" s="9"/>
      <c r="Z133" s="9"/>
    </row>
    <row r="134">
      <c r="A134" s="9" t="s">
        <v>39</v>
      </c>
      <c r="B134" s="9" t="s">
        <v>47</v>
      </c>
      <c r="C134" s="9">
        <v>501690.0</v>
      </c>
      <c r="D134" s="9" t="s">
        <v>2385</v>
      </c>
      <c r="E134" s="9" t="s">
        <v>2284</v>
      </c>
      <c r="F134" s="9">
        <v>14.74</v>
      </c>
      <c r="G134" s="9">
        <v>21.05</v>
      </c>
      <c r="H134" s="9">
        <v>6.31</v>
      </c>
      <c r="I134" s="9">
        <v>0.11</v>
      </c>
      <c r="J134" s="9">
        <v>39.0</v>
      </c>
      <c r="K134" s="9">
        <v>23.15</v>
      </c>
      <c r="L134" s="9">
        <v>1.0</v>
      </c>
      <c r="M134" s="9">
        <v>14.21</v>
      </c>
      <c r="N134" s="9">
        <v>21.05</v>
      </c>
      <c r="O134" s="9">
        <v>0.0513</v>
      </c>
      <c r="P134" s="9">
        <v>0.0085</v>
      </c>
      <c r="Q134" s="9">
        <v>0.0598</v>
      </c>
      <c r="R134" s="9">
        <v>0.8462</v>
      </c>
      <c r="S134" s="9">
        <v>0.0</v>
      </c>
      <c r="T134" s="9" t="b">
        <v>1</v>
      </c>
      <c r="U134" s="9" t="b">
        <v>1</v>
      </c>
      <c r="V134" s="9"/>
      <c r="W134" s="9">
        <v>1.0</v>
      </c>
      <c r="X134" s="10" t="s">
        <v>43</v>
      </c>
      <c r="Y134" s="9"/>
      <c r="Z134" s="9"/>
    </row>
    <row r="135">
      <c r="A135" s="9" t="s">
        <v>1533</v>
      </c>
      <c r="B135" s="9" t="s">
        <v>47</v>
      </c>
      <c r="C135" s="9">
        <v>554574.0</v>
      </c>
      <c r="D135" s="9" t="s">
        <v>2386</v>
      </c>
      <c r="E135" s="9" t="s">
        <v>51</v>
      </c>
      <c r="F135" s="9">
        <v>18.52</v>
      </c>
      <c r="G135" s="9">
        <v>24.83</v>
      </c>
      <c r="H135" s="9">
        <v>6.31</v>
      </c>
      <c r="I135" s="9">
        <v>5.9</v>
      </c>
      <c r="J135" s="9">
        <v>29.0</v>
      </c>
      <c r="K135" s="9">
        <v>30.81</v>
      </c>
      <c r="L135" s="9">
        <v>0.9655</v>
      </c>
      <c r="M135" s="9">
        <v>16.51</v>
      </c>
      <c r="N135" s="9">
        <v>18.52</v>
      </c>
      <c r="O135" s="9">
        <v>0.0</v>
      </c>
      <c r="P135" s="9">
        <v>0.0862</v>
      </c>
      <c r="Q135" s="9">
        <v>0.0862</v>
      </c>
      <c r="R135" s="9">
        <v>0.3448</v>
      </c>
      <c r="S135" s="9">
        <v>0.3793</v>
      </c>
      <c r="T135" s="9" t="b">
        <v>1</v>
      </c>
      <c r="U135" s="9" t="b">
        <v>1</v>
      </c>
      <c r="V135" s="9"/>
      <c r="W135" s="9">
        <v>1.0</v>
      </c>
      <c r="X135" s="10" t="s">
        <v>43</v>
      </c>
      <c r="Y135" s="9"/>
      <c r="Z135" s="9"/>
    </row>
    <row r="136">
      <c r="A136" s="9" t="s">
        <v>551</v>
      </c>
      <c r="B136" s="9" t="s">
        <v>88</v>
      </c>
      <c r="C136" s="9">
        <v>101354.0</v>
      </c>
      <c r="D136" s="9" t="s">
        <v>2387</v>
      </c>
      <c r="E136" s="9" t="s">
        <v>25</v>
      </c>
      <c r="F136" s="9">
        <v>5.29</v>
      </c>
      <c r="G136" s="9">
        <v>11.58</v>
      </c>
      <c r="H136" s="9">
        <v>6.29</v>
      </c>
      <c r="I136" s="9">
        <v>3.48</v>
      </c>
      <c r="J136" s="9">
        <v>84.0</v>
      </c>
      <c r="K136" s="9">
        <v>5.29</v>
      </c>
      <c r="L136" s="9">
        <v>1.0</v>
      </c>
      <c r="M136" s="9">
        <v>11.74</v>
      </c>
      <c r="N136" s="9">
        <v>9.39</v>
      </c>
      <c r="O136" s="9">
        <v>0.0</v>
      </c>
      <c r="P136" s="9">
        <v>0.0</v>
      </c>
      <c r="Q136" s="9">
        <v>0.0</v>
      </c>
      <c r="R136" s="9">
        <v>0.25</v>
      </c>
      <c r="S136" s="9">
        <v>0.25</v>
      </c>
      <c r="T136" s="9" t="b">
        <v>1</v>
      </c>
      <c r="U136" s="9" t="b">
        <v>1</v>
      </c>
      <c r="V136" s="9"/>
      <c r="W136" s="9">
        <v>1.0</v>
      </c>
      <c r="X136" s="10" t="s">
        <v>43</v>
      </c>
      <c r="Y136" s="9"/>
      <c r="Z136" s="9"/>
    </row>
    <row r="137">
      <c r="A137" s="9" t="s">
        <v>86</v>
      </c>
      <c r="B137" s="9" t="s">
        <v>44</v>
      </c>
      <c r="C137" s="9">
        <v>148502.0</v>
      </c>
      <c r="D137" s="9" t="s">
        <v>2317</v>
      </c>
      <c r="E137" s="9" t="s">
        <v>51</v>
      </c>
      <c r="F137" s="9">
        <v>11.72</v>
      </c>
      <c r="G137" s="9">
        <v>17.96</v>
      </c>
      <c r="H137" s="9">
        <v>6.24</v>
      </c>
      <c r="I137" s="9">
        <v>4.86</v>
      </c>
      <c r="J137" s="9">
        <v>287.0</v>
      </c>
      <c r="K137" s="9" t="s">
        <v>39</v>
      </c>
      <c r="L137" s="9">
        <v>0.0</v>
      </c>
      <c r="M137" s="9">
        <v>12.79</v>
      </c>
      <c r="N137" s="9">
        <v>11.72</v>
      </c>
      <c r="O137" s="9">
        <v>0.0453</v>
      </c>
      <c r="P137" s="9">
        <v>0.0238</v>
      </c>
      <c r="Q137" s="9">
        <v>0.0691</v>
      </c>
      <c r="R137" s="9">
        <v>0.2997</v>
      </c>
      <c r="S137" s="9">
        <v>0.4878</v>
      </c>
      <c r="T137" s="9" t="b">
        <v>1</v>
      </c>
      <c r="U137" s="9" t="b">
        <v>1</v>
      </c>
      <c r="V137" s="9"/>
      <c r="W137" s="9">
        <v>1.0</v>
      </c>
      <c r="X137" s="10" t="s">
        <v>43</v>
      </c>
      <c r="Y137" s="9"/>
      <c r="Z137" s="9"/>
    </row>
    <row r="138">
      <c r="A138" s="9" t="s">
        <v>956</v>
      </c>
      <c r="B138" s="9" t="s">
        <v>47</v>
      </c>
      <c r="C138" s="9">
        <v>564177.0</v>
      </c>
      <c r="D138" s="9" t="s">
        <v>2388</v>
      </c>
      <c r="E138" s="9" t="s">
        <v>51</v>
      </c>
      <c r="F138" s="9">
        <v>11.17</v>
      </c>
      <c r="G138" s="9">
        <v>20.2</v>
      </c>
      <c r="H138" s="9">
        <v>9.03</v>
      </c>
      <c r="I138" s="9">
        <v>4.92</v>
      </c>
      <c r="J138" s="9">
        <v>50.0</v>
      </c>
      <c r="K138" s="9">
        <v>12.86</v>
      </c>
      <c r="L138" s="9">
        <v>0.24</v>
      </c>
      <c r="M138" s="9">
        <v>10.49</v>
      </c>
      <c r="N138" s="9">
        <v>11.17</v>
      </c>
      <c r="O138" s="9">
        <v>0.0</v>
      </c>
      <c r="P138" s="9">
        <v>0.04</v>
      </c>
      <c r="Q138" s="9">
        <v>0.04</v>
      </c>
      <c r="R138" s="9">
        <v>0.18</v>
      </c>
      <c r="S138" s="9">
        <v>0.44</v>
      </c>
      <c r="T138" s="9" t="b">
        <v>1</v>
      </c>
      <c r="U138" s="9" t="b">
        <v>1</v>
      </c>
      <c r="V138" s="9" t="b">
        <v>1</v>
      </c>
      <c r="W138" s="9">
        <v>1.0</v>
      </c>
      <c r="X138" s="10" t="s">
        <v>43</v>
      </c>
      <c r="Y138" s="9"/>
      <c r="Z138" s="9"/>
    </row>
    <row r="139">
      <c r="A139" s="9" t="s">
        <v>86</v>
      </c>
      <c r="B139" s="9" t="s">
        <v>44</v>
      </c>
      <c r="C139" s="9">
        <v>597304.0</v>
      </c>
      <c r="D139" s="9" t="s">
        <v>2258</v>
      </c>
      <c r="E139" s="9" t="s">
        <v>51</v>
      </c>
      <c r="F139" s="9">
        <v>11.72</v>
      </c>
      <c r="G139" s="9">
        <v>17.89</v>
      </c>
      <c r="H139" s="9">
        <v>6.17</v>
      </c>
      <c r="I139" s="9">
        <v>2.94</v>
      </c>
      <c r="J139" s="9">
        <v>322.0</v>
      </c>
      <c r="K139" s="9" t="s">
        <v>39</v>
      </c>
      <c r="L139" s="9">
        <v>0.0</v>
      </c>
      <c r="M139" s="9">
        <v>12.79</v>
      </c>
      <c r="N139" s="9">
        <v>11.72</v>
      </c>
      <c r="O139" s="9">
        <v>0.0202</v>
      </c>
      <c r="P139" s="9">
        <v>0.0124</v>
      </c>
      <c r="Q139" s="9">
        <v>0.0326</v>
      </c>
      <c r="R139" s="9">
        <v>0.1894</v>
      </c>
      <c r="S139" s="9">
        <v>0.2267</v>
      </c>
      <c r="T139" s="9" t="b">
        <v>1</v>
      </c>
      <c r="U139" s="9" t="b">
        <v>1</v>
      </c>
      <c r="V139" s="9"/>
      <c r="W139" s="9">
        <v>1.0</v>
      </c>
      <c r="X139" s="10" t="s">
        <v>43</v>
      </c>
      <c r="Y139" s="9"/>
      <c r="Z139" s="9"/>
    </row>
    <row r="140">
      <c r="A140" s="42" t="s">
        <v>39</v>
      </c>
      <c r="B140" s="42" t="s">
        <v>47</v>
      </c>
      <c r="C140" s="42">
        <v>623242.0</v>
      </c>
      <c r="D140" s="42" t="s">
        <v>2389</v>
      </c>
      <c r="E140" s="42" t="s">
        <v>965</v>
      </c>
      <c r="F140" s="42">
        <v>13.0</v>
      </c>
      <c r="G140" s="42">
        <v>19.13</v>
      </c>
      <c r="H140" s="42">
        <v>6.13</v>
      </c>
      <c r="I140" s="42">
        <v>8.34</v>
      </c>
      <c r="J140" s="42">
        <v>32.0</v>
      </c>
      <c r="K140" s="42">
        <v>16.49</v>
      </c>
      <c r="L140" s="42">
        <v>0.7188</v>
      </c>
      <c r="M140" s="42">
        <v>16.6</v>
      </c>
      <c r="N140" s="42">
        <v>19.13</v>
      </c>
      <c r="O140" s="42">
        <v>0.0</v>
      </c>
      <c r="P140" s="42">
        <v>0.1042</v>
      </c>
      <c r="Q140" s="42">
        <v>0.1042</v>
      </c>
      <c r="R140" s="42">
        <v>0.125</v>
      </c>
      <c r="S140" s="42">
        <v>0.375</v>
      </c>
      <c r="T140" s="42" t="b">
        <v>1</v>
      </c>
      <c r="U140" s="42" t="b">
        <v>1</v>
      </c>
      <c r="V140" s="42"/>
      <c r="W140" s="42">
        <v>1.0</v>
      </c>
      <c r="X140" s="43" t="s">
        <v>43</v>
      </c>
      <c r="Y140" s="42"/>
      <c r="Z140" s="42"/>
    </row>
    <row r="141">
      <c r="A141" s="42" t="s">
        <v>1850</v>
      </c>
      <c r="B141" s="42" t="s">
        <v>47</v>
      </c>
      <c r="C141" s="42">
        <v>474788.0</v>
      </c>
      <c r="D141" s="42" t="s">
        <v>2390</v>
      </c>
      <c r="E141" s="42" t="s">
        <v>51</v>
      </c>
      <c r="F141" s="42">
        <v>17.04</v>
      </c>
      <c r="G141" s="42">
        <v>23.17</v>
      </c>
      <c r="H141" s="42">
        <v>6.13</v>
      </c>
      <c r="I141" s="42">
        <v>2.01</v>
      </c>
      <c r="J141" s="42">
        <v>53.0</v>
      </c>
      <c r="K141" s="42">
        <v>21.24</v>
      </c>
      <c r="L141" s="42">
        <v>0.7358</v>
      </c>
      <c r="M141" s="42">
        <v>23.21</v>
      </c>
      <c r="N141" s="42">
        <v>17.04</v>
      </c>
      <c r="O141" s="42">
        <v>0.0047</v>
      </c>
      <c r="P141" s="42">
        <v>0.0</v>
      </c>
      <c r="Q141" s="42">
        <v>0.0047</v>
      </c>
      <c r="R141" s="42">
        <v>0.5472</v>
      </c>
      <c r="S141" s="42">
        <v>0.1509</v>
      </c>
      <c r="T141" s="42" t="b">
        <v>1</v>
      </c>
      <c r="U141" s="42" t="b">
        <v>1</v>
      </c>
      <c r="V141" s="42"/>
      <c r="W141" s="42">
        <v>1.0</v>
      </c>
      <c r="X141" s="43" t="s">
        <v>43</v>
      </c>
      <c r="Y141" s="42"/>
      <c r="Z141" s="42"/>
    </row>
    <row r="142">
      <c r="A142" s="42" t="s">
        <v>696</v>
      </c>
      <c r="B142" s="42" t="s">
        <v>44</v>
      </c>
      <c r="C142" s="42">
        <v>491444.0</v>
      </c>
      <c r="D142" s="42" t="s">
        <v>2391</v>
      </c>
      <c r="E142" s="42" t="s">
        <v>51</v>
      </c>
      <c r="F142" s="42">
        <v>10.06</v>
      </c>
      <c r="G142" s="42">
        <v>16.09</v>
      </c>
      <c r="H142" s="42">
        <v>6.03</v>
      </c>
      <c r="I142" s="42">
        <v>0.71</v>
      </c>
      <c r="J142" s="42">
        <v>34.0</v>
      </c>
      <c r="K142" s="42">
        <v>23.43</v>
      </c>
      <c r="L142" s="42">
        <v>0.9118</v>
      </c>
      <c r="M142" s="42">
        <v>12.17</v>
      </c>
      <c r="N142" s="42">
        <v>10.06</v>
      </c>
      <c r="O142" s="42">
        <v>0.0441</v>
      </c>
      <c r="P142" s="42">
        <v>0.0098</v>
      </c>
      <c r="Q142" s="42">
        <v>0.0539</v>
      </c>
      <c r="R142" s="42">
        <v>0.4412</v>
      </c>
      <c r="S142" s="42">
        <v>0.0588</v>
      </c>
      <c r="T142" s="42" t="b">
        <v>1</v>
      </c>
      <c r="U142" s="42" t="b">
        <v>1</v>
      </c>
      <c r="V142" s="42"/>
      <c r="W142" s="42">
        <v>1.0</v>
      </c>
      <c r="X142" s="43" t="s">
        <v>43</v>
      </c>
      <c r="Y142" s="42"/>
      <c r="Z142" s="42"/>
    </row>
    <row r="143">
      <c r="A143" s="42" t="s">
        <v>551</v>
      </c>
      <c r="B143" s="42" t="s">
        <v>44</v>
      </c>
      <c r="C143" s="42">
        <v>139914.0</v>
      </c>
      <c r="D143" s="42" t="s">
        <v>2392</v>
      </c>
      <c r="E143" s="42" t="s">
        <v>51</v>
      </c>
      <c r="F143" s="42">
        <v>9.15</v>
      </c>
      <c r="G143" s="42">
        <v>15.13</v>
      </c>
      <c r="H143" s="42">
        <v>5.98</v>
      </c>
      <c r="I143" s="42">
        <v>4.24</v>
      </c>
      <c r="J143" s="42">
        <v>209.0</v>
      </c>
      <c r="K143" s="42">
        <v>10.29</v>
      </c>
      <c r="L143" s="42">
        <v>0.7512</v>
      </c>
      <c r="M143" s="42">
        <v>11.74</v>
      </c>
      <c r="N143" s="42">
        <v>9.15</v>
      </c>
      <c r="O143" s="42">
        <v>0.0</v>
      </c>
      <c r="P143" s="42">
        <v>0.0215</v>
      </c>
      <c r="Q143" s="42">
        <v>0.0215</v>
      </c>
      <c r="R143" s="42">
        <v>0.2775</v>
      </c>
      <c r="S143" s="42">
        <v>0.2775</v>
      </c>
      <c r="T143" s="42" t="b">
        <v>1</v>
      </c>
      <c r="U143" s="42" t="b">
        <v>1</v>
      </c>
      <c r="V143" s="42"/>
      <c r="W143" s="42">
        <v>1.0</v>
      </c>
      <c r="X143" s="43" t="s">
        <v>43</v>
      </c>
      <c r="Y143" s="42"/>
      <c r="Z143" s="42"/>
    </row>
    <row r="144">
      <c r="A144" s="42" t="s">
        <v>696</v>
      </c>
      <c r="B144" s="42" t="s">
        <v>44</v>
      </c>
      <c r="C144" s="42">
        <v>148636.0</v>
      </c>
      <c r="D144" s="42" t="s">
        <v>2393</v>
      </c>
      <c r="E144" s="42" t="s">
        <v>51</v>
      </c>
      <c r="F144" s="42">
        <v>10.06</v>
      </c>
      <c r="G144" s="42">
        <v>16.03</v>
      </c>
      <c r="H144" s="42">
        <v>5.97</v>
      </c>
      <c r="I144" s="42">
        <v>0.92</v>
      </c>
      <c r="J144" s="42">
        <v>37.0</v>
      </c>
      <c r="K144" s="42">
        <v>21.73</v>
      </c>
      <c r="L144" s="42">
        <v>0.9459</v>
      </c>
      <c r="M144" s="42">
        <v>12.17</v>
      </c>
      <c r="N144" s="42">
        <v>10.06</v>
      </c>
      <c r="O144" s="42">
        <v>0.0541</v>
      </c>
      <c r="P144" s="42">
        <v>0.009</v>
      </c>
      <c r="Q144" s="42">
        <v>0.0631</v>
      </c>
      <c r="R144" s="42">
        <v>0.3243</v>
      </c>
      <c r="S144" s="42">
        <v>0.1081</v>
      </c>
      <c r="T144" s="42" t="b">
        <v>1</v>
      </c>
      <c r="U144" s="42" t="b">
        <v>1</v>
      </c>
      <c r="V144" s="42"/>
      <c r="W144" s="42">
        <v>1.0</v>
      </c>
      <c r="X144" s="43" t="s">
        <v>43</v>
      </c>
      <c r="Y144" s="42"/>
      <c r="Z144" s="42"/>
    </row>
    <row r="145">
      <c r="A145" s="42" t="s">
        <v>86</v>
      </c>
      <c r="B145" s="42" t="s">
        <v>40</v>
      </c>
      <c r="C145" s="42">
        <v>299049.0</v>
      </c>
      <c r="D145" s="42" t="s">
        <v>1469</v>
      </c>
      <c r="E145" s="42" t="s">
        <v>51</v>
      </c>
      <c r="F145" s="42">
        <v>11.25</v>
      </c>
      <c r="G145" s="42">
        <v>17.21</v>
      </c>
      <c r="H145" s="42">
        <v>5.96</v>
      </c>
      <c r="I145" s="42">
        <v>4.32</v>
      </c>
      <c r="J145" s="42">
        <v>1010.0</v>
      </c>
      <c r="K145" s="42">
        <v>15.11</v>
      </c>
      <c r="L145" s="42">
        <v>0.4218</v>
      </c>
      <c r="M145" s="42">
        <v>12.79</v>
      </c>
      <c r="N145" s="42">
        <v>11.25</v>
      </c>
      <c r="O145" s="42">
        <v>0.0354</v>
      </c>
      <c r="P145" s="42">
        <v>0.0343</v>
      </c>
      <c r="Q145" s="42">
        <v>0.0697</v>
      </c>
      <c r="R145" s="42">
        <v>0.4198</v>
      </c>
      <c r="S145" s="42">
        <v>0.3683</v>
      </c>
      <c r="T145" s="42" t="b">
        <v>1</v>
      </c>
      <c r="U145" s="42" t="b">
        <v>1</v>
      </c>
      <c r="V145" s="42"/>
      <c r="W145" s="42">
        <v>1.0</v>
      </c>
      <c r="X145" s="43" t="s">
        <v>43</v>
      </c>
      <c r="Y145" s="42"/>
      <c r="Z145" s="42"/>
    </row>
    <row r="146">
      <c r="A146" s="42" t="s">
        <v>39</v>
      </c>
      <c r="B146" s="42" t="s">
        <v>88</v>
      </c>
      <c r="C146" s="42">
        <v>204405.0</v>
      </c>
      <c r="D146" s="42" t="s">
        <v>2394</v>
      </c>
      <c r="E146" s="42" t="s">
        <v>25</v>
      </c>
      <c r="F146" s="42">
        <v>6.39</v>
      </c>
      <c r="G146" s="42">
        <v>12.33</v>
      </c>
      <c r="H146" s="42">
        <v>5.94</v>
      </c>
      <c r="I146" s="42">
        <v>1.29</v>
      </c>
      <c r="J146" s="42">
        <v>93.0</v>
      </c>
      <c r="K146" s="42">
        <v>6.39</v>
      </c>
      <c r="L146" s="42">
        <v>0.7312</v>
      </c>
      <c r="M146" s="42">
        <v>18.91</v>
      </c>
      <c r="N146" s="42">
        <v>12.33</v>
      </c>
      <c r="O146" s="42">
        <v>0.0</v>
      </c>
      <c r="P146" s="42">
        <v>0.0</v>
      </c>
      <c r="Q146" s="42">
        <v>0.0</v>
      </c>
      <c r="R146" s="42">
        <v>0.5914</v>
      </c>
      <c r="S146" s="42">
        <v>0.1398</v>
      </c>
      <c r="T146" s="42" t="b">
        <v>1</v>
      </c>
      <c r="U146" s="42" t="b">
        <v>1</v>
      </c>
      <c r="V146" s="42"/>
      <c r="W146" s="42">
        <v>1.0</v>
      </c>
      <c r="X146" s="43" t="s">
        <v>43</v>
      </c>
      <c r="Y146" s="42"/>
      <c r="Z146" s="42"/>
    </row>
    <row r="147">
      <c r="A147" s="42" t="s">
        <v>1600</v>
      </c>
      <c r="B147" s="42" t="s">
        <v>88</v>
      </c>
      <c r="C147" s="42">
        <v>133585.0</v>
      </c>
      <c r="D147" s="42" t="s">
        <v>2395</v>
      </c>
      <c r="E147" s="42" t="s">
        <v>51</v>
      </c>
      <c r="F147" s="42">
        <v>16.58</v>
      </c>
      <c r="G147" s="42">
        <v>22.52</v>
      </c>
      <c r="H147" s="42">
        <v>5.94</v>
      </c>
      <c r="I147" s="42">
        <v>6.09</v>
      </c>
      <c r="J147" s="42">
        <v>128.0</v>
      </c>
      <c r="K147" s="42" t="s">
        <v>39</v>
      </c>
      <c r="L147" s="42">
        <v>0.0</v>
      </c>
      <c r="M147" s="42">
        <v>18.91</v>
      </c>
      <c r="N147" s="42">
        <v>16.58</v>
      </c>
      <c r="O147" s="42">
        <v>0.0</v>
      </c>
      <c r="P147" s="42">
        <v>0.0612</v>
      </c>
      <c r="Q147" s="42">
        <v>0.0612</v>
      </c>
      <c r="R147" s="42">
        <v>0.2891</v>
      </c>
      <c r="S147" s="42">
        <v>0.4063</v>
      </c>
      <c r="T147" s="42" t="b">
        <v>1</v>
      </c>
      <c r="U147" s="42" t="b">
        <v>1</v>
      </c>
      <c r="V147" s="42"/>
      <c r="W147" s="42">
        <v>1.0</v>
      </c>
      <c r="X147" s="43" t="s">
        <v>43</v>
      </c>
      <c r="Y147" s="42"/>
      <c r="Z147" s="42"/>
    </row>
    <row r="148">
      <c r="A148" s="42" t="s">
        <v>1600</v>
      </c>
      <c r="B148" s="42" t="s">
        <v>44</v>
      </c>
      <c r="C148" s="42">
        <v>550856.0</v>
      </c>
      <c r="D148" s="42" t="s">
        <v>2396</v>
      </c>
      <c r="E148" s="42" t="s">
        <v>51</v>
      </c>
      <c r="F148" s="42">
        <v>19.95</v>
      </c>
      <c r="G148" s="42">
        <v>25.89</v>
      </c>
      <c r="H148" s="42">
        <v>5.94</v>
      </c>
      <c r="I148" s="42">
        <v>2.99</v>
      </c>
      <c r="J148" s="42">
        <v>298.0</v>
      </c>
      <c r="K148" s="42" t="s">
        <v>39</v>
      </c>
      <c r="L148" s="42">
        <v>0.0</v>
      </c>
      <c r="M148" s="42">
        <v>18.91</v>
      </c>
      <c r="N148" s="42">
        <v>19.95</v>
      </c>
      <c r="O148" s="42">
        <v>0.0034</v>
      </c>
      <c r="P148" s="42">
        <v>0.0062</v>
      </c>
      <c r="Q148" s="42">
        <v>0.0096</v>
      </c>
      <c r="R148" s="42">
        <v>0.2584</v>
      </c>
      <c r="S148" s="42">
        <v>0.2886</v>
      </c>
      <c r="T148" s="42" t="b">
        <v>1</v>
      </c>
      <c r="U148" s="42" t="b">
        <v>1</v>
      </c>
      <c r="V148" s="42"/>
      <c r="W148" s="42">
        <v>1.0</v>
      </c>
      <c r="X148" s="43" t="s">
        <v>43</v>
      </c>
      <c r="Y148" s="42"/>
      <c r="Z148" s="42"/>
    </row>
    <row r="149">
      <c r="A149" s="42" t="s">
        <v>1392</v>
      </c>
      <c r="B149" s="42" t="s">
        <v>88</v>
      </c>
      <c r="C149" s="42">
        <v>511110.0</v>
      </c>
      <c r="D149" s="42" t="s">
        <v>2397</v>
      </c>
      <c r="E149" s="42" t="s">
        <v>51</v>
      </c>
      <c r="F149" s="42">
        <v>14.52</v>
      </c>
      <c r="G149" s="42">
        <v>20.45</v>
      </c>
      <c r="H149" s="42">
        <v>5.93</v>
      </c>
      <c r="I149" s="42">
        <v>4.67</v>
      </c>
      <c r="J149" s="42">
        <v>75.0</v>
      </c>
      <c r="K149" s="42">
        <v>23.71</v>
      </c>
      <c r="L149" s="42">
        <v>0.4667</v>
      </c>
      <c r="M149" s="42">
        <v>23.21</v>
      </c>
      <c r="N149" s="42">
        <v>14.52</v>
      </c>
      <c r="O149" s="42">
        <v>0.0</v>
      </c>
      <c r="P149" s="42">
        <v>0.0089</v>
      </c>
      <c r="Q149" s="42">
        <v>0.0089</v>
      </c>
      <c r="R149" s="42">
        <v>0.1867</v>
      </c>
      <c r="S149" s="42">
        <v>0.2267</v>
      </c>
      <c r="T149" s="42" t="b">
        <v>1</v>
      </c>
      <c r="U149" s="42" t="b">
        <v>1</v>
      </c>
      <c r="V149" s="42"/>
      <c r="W149" s="42">
        <v>1.0</v>
      </c>
      <c r="X149" s="43" t="s">
        <v>43</v>
      </c>
      <c r="Y149" s="42"/>
      <c r="Z149" s="42"/>
    </row>
    <row r="150">
      <c r="A150" s="42" t="s">
        <v>1306</v>
      </c>
      <c r="B150" s="42" t="s">
        <v>666</v>
      </c>
      <c r="C150" s="42">
        <v>262376.0</v>
      </c>
      <c r="D150" s="42" t="s">
        <v>2398</v>
      </c>
      <c r="E150" s="42" t="s">
        <v>51</v>
      </c>
      <c r="F150" s="42">
        <v>10.89</v>
      </c>
      <c r="G150" s="42">
        <v>16.79</v>
      </c>
      <c r="H150" s="42">
        <v>5.9</v>
      </c>
      <c r="I150" s="42">
        <v>2.64</v>
      </c>
      <c r="J150" s="42">
        <v>345.0</v>
      </c>
      <c r="K150" s="42" t="s">
        <v>39</v>
      </c>
      <c r="L150" s="42">
        <v>0.0</v>
      </c>
      <c r="M150" s="42">
        <v>18.91</v>
      </c>
      <c r="N150" s="42">
        <v>10.89</v>
      </c>
      <c r="O150" s="42">
        <v>0.0072</v>
      </c>
      <c r="P150" s="42">
        <v>0.0072</v>
      </c>
      <c r="Q150" s="42">
        <v>0.0144</v>
      </c>
      <c r="R150" s="42">
        <v>0.1536</v>
      </c>
      <c r="S150" s="42">
        <v>0.2029</v>
      </c>
      <c r="T150" s="42" t="b">
        <v>1</v>
      </c>
      <c r="U150" s="42" t="b">
        <v>1</v>
      </c>
      <c r="V150" s="42"/>
      <c r="W150" s="42">
        <v>1.0</v>
      </c>
      <c r="X150" s="43" t="s">
        <v>43</v>
      </c>
      <c r="Y150" s="42"/>
      <c r="Z150" s="42"/>
    </row>
    <row r="151">
      <c r="A151" s="42" t="s">
        <v>956</v>
      </c>
      <c r="B151" s="42" t="s">
        <v>47</v>
      </c>
      <c r="C151" s="42">
        <v>564145.0</v>
      </c>
      <c r="D151" s="42" t="s">
        <v>2399</v>
      </c>
      <c r="E151" s="42" t="s">
        <v>51</v>
      </c>
      <c r="F151" s="42">
        <v>11.17</v>
      </c>
      <c r="G151" s="42">
        <v>17.4</v>
      </c>
      <c r="H151" s="42">
        <v>6.23</v>
      </c>
      <c r="I151" s="42">
        <v>5.57</v>
      </c>
      <c r="J151" s="42">
        <v>60.0</v>
      </c>
      <c r="K151" s="42">
        <v>21.8</v>
      </c>
      <c r="L151" s="42">
        <v>0.15</v>
      </c>
      <c r="M151" s="42">
        <v>10.49</v>
      </c>
      <c r="N151" s="42">
        <v>11.17</v>
      </c>
      <c r="O151" s="42">
        <v>0.0042</v>
      </c>
      <c r="P151" s="42">
        <v>0.0167</v>
      </c>
      <c r="Q151" s="42">
        <v>0.0209</v>
      </c>
      <c r="R151" s="42">
        <v>0.2</v>
      </c>
      <c r="S151" s="42">
        <v>0.3667</v>
      </c>
      <c r="T151" s="42" t="b">
        <v>1</v>
      </c>
      <c r="U151" s="42" t="b">
        <v>1</v>
      </c>
      <c r="V151" s="42" t="b">
        <v>1</v>
      </c>
      <c r="W151" s="42">
        <v>1.0</v>
      </c>
      <c r="X151" s="43" t="s">
        <v>43</v>
      </c>
      <c r="Y151" s="42"/>
      <c r="Z151" s="42"/>
    </row>
    <row r="152">
      <c r="A152" s="42" t="s">
        <v>551</v>
      </c>
      <c r="B152" s="42" t="s">
        <v>44</v>
      </c>
      <c r="C152" s="42">
        <v>194185.0</v>
      </c>
      <c r="D152" s="42" t="s">
        <v>2400</v>
      </c>
      <c r="E152" s="42" t="s">
        <v>51</v>
      </c>
      <c r="F152" s="42">
        <v>9.15</v>
      </c>
      <c r="G152" s="42">
        <v>14.97</v>
      </c>
      <c r="H152" s="42">
        <v>5.82</v>
      </c>
      <c r="I152" s="42">
        <v>2.46</v>
      </c>
      <c r="J152" s="42">
        <v>184.0</v>
      </c>
      <c r="K152" s="42">
        <v>9.83</v>
      </c>
      <c r="L152" s="42">
        <v>0.7935</v>
      </c>
      <c r="M152" s="42">
        <v>11.74</v>
      </c>
      <c r="N152" s="42">
        <v>9.15</v>
      </c>
      <c r="O152" s="42">
        <v>0.0</v>
      </c>
      <c r="P152" s="42">
        <v>0.0299</v>
      </c>
      <c r="Q152" s="42">
        <v>0.0299</v>
      </c>
      <c r="R152" s="42">
        <v>0.5435</v>
      </c>
      <c r="S152" s="42">
        <v>0.2011</v>
      </c>
      <c r="T152" s="42" t="b">
        <v>1</v>
      </c>
      <c r="U152" s="42" t="b">
        <v>1</v>
      </c>
      <c r="V152" s="42"/>
      <c r="W152" s="42">
        <v>1.0</v>
      </c>
      <c r="X152" s="43" t="s">
        <v>43</v>
      </c>
      <c r="Y152" s="42"/>
      <c r="Z152" s="42"/>
    </row>
    <row r="153">
      <c r="A153" s="42" t="s">
        <v>956</v>
      </c>
      <c r="B153" s="42" t="s">
        <v>47</v>
      </c>
      <c r="C153" s="42">
        <v>564027.0</v>
      </c>
      <c r="D153" s="42" t="s">
        <v>2401</v>
      </c>
      <c r="E153" s="42" t="s">
        <v>51</v>
      </c>
      <c r="F153" s="42">
        <v>11.17</v>
      </c>
      <c r="G153" s="42">
        <v>17.84</v>
      </c>
      <c r="H153" s="42">
        <v>6.67</v>
      </c>
      <c r="I153" s="42">
        <v>2.11</v>
      </c>
      <c r="J153" s="42">
        <v>38.0</v>
      </c>
      <c r="K153" s="42">
        <v>17.44</v>
      </c>
      <c r="L153" s="42">
        <v>0.1053</v>
      </c>
      <c r="M153" s="42">
        <v>12.79</v>
      </c>
      <c r="N153" s="42">
        <v>11.17</v>
      </c>
      <c r="O153" s="42">
        <v>0.0066</v>
      </c>
      <c r="P153" s="42">
        <v>0.0263</v>
      </c>
      <c r="Q153" s="42">
        <v>0.0329</v>
      </c>
      <c r="R153" s="42">
        <v>0.3947</v>
      </c>
      <c r="S153" s="42">
        <v>0.2368</v>
      </c>
      <c r="T153" s="42" t="b">
        <v>1</v>
      </c>
      <c r="U153" s="42" t="b">
        <v>1</v>
      </c>
      <c r="V153" s="42" t="b">
        <v>1</v>
      </c>
      <c r="W153" s="42">
        <v>1.0</v>
      </c>
      <c r="X153" s="43" t="s">
        <v>43</v>
      </c>
      <c r="Y153" s="42"/>
      <c r="Z153" s="42"/>
    </row>
    <row r="154">
      <c r="A154" s="42" t="s">
        <v>131</v>
      </c>
      <c r="B154" s="42" t="s">
        <v>88</v>
      </c>
      <c r="C154" s="42">
        <v>590467.0</v>
      </c>
      <c r="D154" s="42" t="s">
        <v>2402</v>
      </c>
      <c r="E154" s="42" t="s">
        <v>51</v>
      </c>
      <c r="F154" s="42">
        <v>14.54</v>
      </c>
      <c r="G154" s="42">
        <v>20.26</v>
      </c>
      <c r="H154" s="42">
        <v>5.72</v>
      </c>
      <c r="I154" s="42">
        <v>4.4</v>
      </c>
      <c r="J154" s="42">
        <v>98.0</v>
      </c>
      <c r="K154" s="42">
        <v>21.45</v>
      </c>
      <c r="L154" s="42">
        <v>0.3469</v>
      </c>
      <c r="M154" s="42">
        <v>15.42</v>
      </c>
      <c r="N154" s="42">
        <v>14.54</v>
      </c>
      <c r="O154" s="42">
        <v>0.0153</v>
      </c>
      <c r="P154" s="42">
        <v>0.0238</v>
      </c>
      <c r="Q154" s="42">
        <v>0.0391</v>
      </c>
      <c r="R154" s="42">
        <v>0.3469</v>
      </c>
      <c r="S154" s="42">
        <v>0.3469</v>
      </c>
      <c r="T154" s="42" t="b">
        <v>1</v>
      </c>
      <c r="U154" s="42" t="b">
        <v>1</v>
      </c>
      <c r="V154" s="42"/>
      <c r="W154" s="42">
        <v>1.0</v>
      </c>
      <c r="X154" s="43" t="s">
        <v>43</v>
      </c>
      <c r="Y154" s="42"/>
      <c r="Z154" s="42"/>
    </row>
    <row r="155">
      <c r="A155" s="42" t="s">
        <v>432</v>
      </c>
      <c r="B155" s="42" t="s">
        <v>88</v>
      </c>
      <c r="C155" s="42">
        <v>147474.0</v>
      </c>
      <c r="D155" s="42" t="s">
        <v>2403</v>
      </c>
      <c r="E155" s="42" t="s">
        <v>51</v>
      </c>
      <c r="F155" s="42">
        <v>7.04</v>
      </c>
      <c r="G155" s="42">
        <v>12.69</v>
      </c>
      <c r="H155" s="42">
        <v>5.65</v>
      </c>
      <c r="I155" s="42">
        <v>5.7</v>
      </c>
      <c r="J155" s="42">
        <v>75.0</v>
      </c>
      <c r="K155" s="42">
        <v>15.21</v>
      </c>
      <c r="L155" s="42">
        <v>0.2133</v>
      </c>
      <c r="M155" s="42">
        <v>11.74</v>
      </c>
      <c r="N155" s="42">
        <v>7.04</v>
      </c>
      <c r="O155" s="42">
        <v>0.0</v>
      </c>
      <c r="P155" s="42">
        <v>0.0356</v>
      </c>
      <c r="Q155" s="42">
        <v>0.0356</v>
      </c>
      <c r="R155" s="42">
        <v>0.2</v>
      </c>
      <c r="S155" s="42">
        <v>0.4267</v>
      </c>
      <c r="T155" s="42" t="b">
        <v>1</v>
      </c>
      <c r="U155" s="42" t="b">
        <v>1</v>
      </c>
      <c r="V155" s="42"/>
      <c r="W155" s="42">
        <v>1.0</v>
      </c>
      <c r="X155" s="43" t="s">
        <v>43</v>
      </c>
      <c r="Y155" s="42"/>
      <c r="Z155" s="42"/>
    </row>
    <row r="156">
      <c r="A156" s="42" t="s">
        <v>86</v>
      </c>
      <c r="B156" s="42" t="s">
        <v>666</v>
      </c>
      <c r="C156" s="42">
        <v>42452.0</v>
      </c>
      <c r="D156" s="42" t="s">
        <v>1045</v>
      </c>
      <c r="E156" s="42" t="s">
        <v>965</v>
      </c>
      <c r="F156" s="42">
        <v>11.58</v>
      </c>
      <c r="G156" s="42">
        <v>17.23</v>
      </c>
      <c r="H156" s="42">
        <v>5.65</v>
      </c>
      <c r="I156" s="42">
        <v>4.45</v>
      </c>
      <c r="J156" s="42">
        <v>411.0</v>
      </c>
      <c r="K156" s="42" t="s">
        <v>39</v>
      </c>
      <c r="L156" s="42">
        <v>0.0</v>
      </c>
      <c r="M156" s="42">
        <v>12.79</v>
      </c>
      <c r="N156" s="42">
        <v>12.91</v>
      </c>
      <c r="O156" s="42">
        <v>0.0414</v>
      </c>
      <c r="P156" s="42">
        <v>0.0122</v>
      </c>
      <c r="Q156" s="42">
        <v>0.0536</v>
      </c>
      <c r="R156" s="42">
        <v>0.1849</v>
      </c>
      <c r="S156" s="42">
        <v>0.292</v>
      </c>
      <c r="T156" s="42" t="b">
        <v>1</v>
      </c>
      <c r="U156" s="42" t="b">
        <v>1</v>
      </c>
      <c r="V156" s="42"/>
      <c r="W156" s="42">
        <v>1.0</v>
      </c>
      <c r="X156" s="43" t="s">
        <v>43</v>
      </c>
      <c r="Y156" s="42"/>
      <c r="Z156" s="42"/>
    </row>
    <row r="157">
      <c r="A157" s="42" t="s">
        <v>86</v>
      </c>
      <c r="B157" s="42" t="s">
        <v>88</v>
      </c>
      <c r="C157" s="42">
        <v>149308.0</v>
      </c>
      <c r="D157" s="42" t="s">
        <v>2249</v>
      </c>
      <c r="E157" s="42" t="s">
        <v>51</v>
      </c>
      <c r="F157" s="42">
        <v>10.91</v>
      </c>
      <c r="G157" s="42">
        <v>16.53</v>
      </c>
      <c r="H157" s="42">
        <v>5.62</v>
      </c>
      <c r="I157" s="42">
        <v>2.02</v>
      </c>
      <c r="J157" s="42">
        <v>153.0</v>
      </c>
      <c r="K157" s="42" t="s">
        <v>39</v>
      </c>
      <c r="L157" s="42">
        <v>0.0</v>
      </c>
      <c r="M157" s="42">
        <v>12.79</v>
      </c>
      <c r="N157" s="42">
        <v>10.91</v>
      </c>
      <c r="O157" s="42">
        <v>0.0</v>
      </c>
      <c r="P157" s="42">
        <v>0.0022</v>
      </c>
      <c r="Q157" s="42">
        <v>0.0022</v>
      </c>
      <c r="R157" s="42">
        <v>0.4248</v>
      </c>
      <c r="S157" s="42">
        <v>0.2549</v>
      </c>
      <c r="T157" s="42" t="b">
        <v>1</v>
      </c>
      <c r="U157" s="42" t="b">
        <v>1</v>
      </c>
      <c r="V157" s="42"/>
      <c r="W157" s="42">
        <v>1.0</v>
      </c>
      <c r="X157" s="43" t="s">
        <v>43</v>
      </c>
      <c r="Y157" s="42"/>
      <c r="Z157" s="42"/>
    </row>
    <row r="158">
      <c r="A158" s="42" t="s">
        <v>790</v>
      </c>
      <c r="B158" s="42" t="s">
        <v>47</v>
      </c>
      <c r="C158" s="42">
        <v>616528.0</v>
      </c>
      <c r="D158" s="42" t="s">
        <v>2404</v>
      </c>
      <c r="E158" s="42" t="s">
        <v>25</v>
      </c>
      <c r="F158" s="42">
        <v>7.39</v>
      </c>
      <c r="G158" s="42">
        <v>13.0</v>
      </c>
      <c r="H158" s="42">
        <v>5.61</v>
      </c>
      <c r="I158" s="42">
        <v>2.71</v>
      </c>
      <c r="J158" s="42">
        <v>58.0</v>
      </c>
      <c r="K158" s="42">
        <v>7.39</v>
      </c>
      <c r="L158" s="42">
        <v>0.9828</v>
      </c>
      <c r="M158" s="42">
        <v>14.21</v>
      </c>
      <c r="N158" s="42">
        <v>11.03</v>
      </c>
      <c r="O158" s="42">
        <v>0.0</v>
      </c>
      <c r="P158" s="42">
        <v>0.0057</v>
      </c>
      <c r="Q158" s="42">
        <v>0.0057</v>
      </c>
      <c r="R158" s="42">
        <v>0.2931</v>
      </c>
      <c r="S158" s="42">
        <v>0.2759</v>
      </c>
      <c r="T158" s="42" t="b">
        <v>1</v>
      </c>
      <c r="U158" s="42" t="b">
        <v>1</v>
      </c>
      <c r="V158" s="42"/>
      <c r="W158" s="42">
        <v>1.0</v>
      </c>
      <c r="X158" s="43" t="s">
        <v>43</v>
      </c>
      <c r="Y158" s="42"/>
      <c r="Z158" s="42"/>
    </row>
    <row r="159">
      <c r="A159" s="42" t="s">
        <v>719</v>
      </c>
      <c r="B159" s="42" t="s">
        <v>47</v>
      </c>
      <c r="C159" s="42">
        <v>607807.0</v>
      </c>
      <c r="D159" s="42" t="s">
        <v>2405</v>
      </c>
      <c r="E159" s="42" t="s">
        <v>51</v>
      </c>
      <c r="F159" s="42">
        <v>8.18</v>
      </c>
      <c r="G159" s="42">
        <v>13.79</v>
      </c>
      <c r="H159" s="42">
        <v>5.61</v>
      </c>
      <c r="I159" s="42">
        <v>1.98</v>
      </c>
      <c r="J159" s="42">
        <v>67.0</v>
      </c>
      <c r="K159" s="42">
        <v>13.87</v>
      </c>
      <c r="L159" s="42">
        <v>0.2985</v>
      </c>
      <c r="M159" s="42">
        <v>10.49</v>
      </c>
      <c r="N159" s="42">
        <v>8.18</v>
      </c>
      <c r="O159" s="42">
        <v>0.0075</v>
      </c>
      <c r="P159" s="42">
        <v>0.005</v>
      </c>
      <c r="Q159" s="42">
        <v>0.0125</v>
      </c>
      <c r="R159" s="42">
        <v>0.3731</v>
      </c>
      <c r="S159" s="42">
        <v>0.1194</v>
      </c>
      <c r="T159" s="42" t="b">
        <v>1</v>
      </c>
      <c r="U159" s="42" t="b">
        <v>1</v>
      </c>
      <c r="V159" s="42"/>
      <c r="W159" s="42">
        <v>1.0</v>
      </c>
      <c r="X159" s="43" t="s">
        <v>43</v>
      </c>
      <c r="Y159" s="42"/>
      <c r="Z159" s="42"/>
    </row>
    <row r="160">
      <c r="A160" s="42" t="s">
        <v>86</v>
      </c>
      <c r="B160" s="42" t="s">
        <v>666</v>
      </c>
      <c r="C160" s="42">
        <v>464915.0</v>
      </c>
      <c r="D160" s="42" t="s">
        <v>1221</v>
      </c>
      <c r="E160" s="42" t="s">
        <v>965</v>
      </c>
      <c r="F160" s="42">
        <v>9.8</v>
      </c>
      <c r="G160" s="42">
        <v>15.4</v>
      </c>
      <c r="H160" s="42">
        <v>5.6</v>
      </c>
      <c r="I160" s="42">
        <v>4.11</v>
      </c>
      <c r="J160" s="42">
        <v>361.0</v>
      </c>
      <c r="K160" s="42" t="s">
        <v>39</v>
      </c>
      <c r="L160" s="42">
        <v>0.0</v>
      </c>
      <c r="M160" s="42">
        <v>12.79</v>
      </c>
      <c r="N160" s="42">
        <v>12.91</v>
      </c>
      <c r="O160" s="42">
        <v>0.0069</v>
      </c>
      <c r="P160" s="42">
        <v>0.0217</v>
      </c>
      <c r="Q160" s="42">
        <v>0.0286</v>
      </c>
      <c r="R160" s="42">
        <v>0.1717</v>
      </c>
      <c r="S160" s="42">
        <v>0.4211</v>
      </c>
      <c r="T160" s="42" t="b">
        <v>1</v>
      </c>
      <c r="U160" s="42" t="b">
        <v>1</v>
      </c>
      <c r="V160" s="42"/>
      <c r="W160" s="42">
        <v>1.0</v>
      </c>
      <c r="X160" s="43" t="s">
        <v>43</v>
      </c>
      <c r="Y160" s="42"/>
      <c r="Z160" s="42"/>
    </row>
    <row r="161">
      <c r="A161" s="42" t="s">
        <v>86</v>
      </c>
      <c r="B161" s="42" t="s">
        <v>40</v>
      </c>
      <c r="C161" s="42">
        <v>484236.0</v>
      </c>
      <c r="D161" s="42" t="s">
        <v>2240</v>
      </c>
      <c r="E161" s="42" t="s">
        <v>965</v>
      </c>
      <c r="F161" s="42">
        <v>9.46</v>
      </c>
      <c r="G161" s="42">
        <v>15.0</v>
      </c>
      <c r="H161" s="42">
        <v>5.54</v>
      </c>
      <c r="I161" s="42">
        <v>3.72</v>
      </c>
      <c r="J161" s="42">
        <v>656.0</v>
      </c>
      <c r="K161" s="42" t="s">
        <v>39</v>
      </c>
      <c r="L161" s="42">
        <v>0.0</v>
      </c>
      <c r="M161" s="42">
        <v>12.79</v>
      </c>
      <c r="N161" s="42">
        <v>11.25</v>
      </c>
      <c r="O161" s="42">
        <v>0.0191</v>
      </c>
      <c r="P161" s="42">
        <v>0.0241</v>
      </c>
      <c r="Q161" s="42">
        <v>0.0432</v>
      </c>
      <c r="R161" s="42">
        <v>0.2637</v>
      </c>
      <c r="S161" s="42">
        <v>0.3521</v>
      </c>
      <c r="T161" s="42" t="b">
        <v>1</v>
      </c>
      <c r="U161" s="42" t="b">
        <v>1</v>
      </c>
      <c r="V161" s="42"/>
      <c r="W161" s="42">
        <v>1.0</v>
      </c>
      <c r="X161" s="43" t="s">
        <v>43</v>
      </c>
      <c r="Y161" s="42"/>
      <c r="Z161" s="42"/>
    </row>
    <row r="162">
      <c r="A162" s="42" t="s">
        <v>1600</v>
      </c>
      <c r="B162" s="42" t="s">
        <v>44</v>
      </c>
      <c r="C162" s="42">
        <v>134139.0</v>
      </c>
      <c r="D162" s="42" t="s">
        <v>2406</v>
      </c>
      <c r="E162" s="42" t="s">
        <v>51</v>
      </c>
      <c r="F162" s="42">
        <v>19.95</v>
      </c>
      <c r="G162" s="42">
        <v>25.48</v>
      </c>
      <c r="H162" s="42">
        <v>5.53</v>
      </c>
      <c r="I162" s="42">
        <v>2.54</v>
      </c>
      <c r="J162" s="42">
        <v>286.0</v>
      </c>
      <c r="K162" s="42" t="s">
        <v>39</v>
      </c>
      <c r="L162" s="42">
        <v>0.0</v>
      </c>
      <c r="M162" s="42">
        <v>18.91</v>
      </c>
      <c r="N162" s="42">
        <v>19.95</v>
      </c>
      <c r="O162" s="42">
        <v>0.0</v>
      </c>
      <c r="P162" s="42">
        <v>0.0117</v>
      </c>
      <c r="Q162" s="42">
        <v>0.0117</v>
      </c>
      <c r="R162" s="42">
        <v>0.4196</v>
      </c>
      <c r="S162" s="42">
        <v>0.2343</v>
      </c>
      <c r="T162" s="42" t="b">
        <v>1</v>
      </c>
      <c r="U162" s="42" t="b">
        <v>1</v>
      </c>
      <c r="V162" s="42"/>
      <c r="W162" s="42">
        <v>1.0</v>
      </c>
      <c r="X162" s="43" t="s">
        <v>43</v>
      </c>
      <c r="Y162" s="42"/>
      <c r="Z162" s="42"/>
    </row>
    <row r="163">
      <c r="A163" s="42" t="s">
        <v>1306</v>
      </c>
      <c r="B163" s="42" t="s">
        <v>88</v>
      </c>
      <c r="C163" s="42">
        <v>205345.0</v>
      </c>
      <c r="D163" s="42" t="s">
        <v>2407</v>
      </c>
      <c r="E163" s="42" t="s">
        <v>51</v>
      </c>
      <c r="F163" s="42">
        <v>13.89</v>
      </c>
      <c r="G163" s="42">
        <v>19.41</v>
      </c>
      <c r="H163" s="42">
        <v>5.52</v>
      </c>
      <c r="I163" s="42">
        <v>2.8</v>
      </c>
      <c r="J163" s="42">
        <v>142.0</v>
      </c>
      <c r="K163" s="42" t="s">
        <v>39</v>
      </c>
      <c r="L163" s="42">
        <v>0.0</v>
      </c>
      <c r="M163" s="42">
        <v>18.91</v>
      </c>
      <c r="N163" s="42">
        <v>13.9</v>
      </c>
      <c r="O163" s="42">
        <v>0.0282</v>
      </c>
      <c r="P163" s="42">
        <v>0.0211</v>
      </c>
      <c r="Q163" s="42">
        <v>0.0493</v>
      </c>
      <c r="R163" s="42">
        <v>0.331</v>
      </c>
      <c r="S163" s="42">
        <v>0.2042</v>
      </c>
      <c r="T163" s="42" t="b">
        <v>1</v>
      </c>
      <c r="U163" s="42" t="b">
        <v>1</v>
      </c>
      <c r="V163" s="42"/>
      <c r="W163" s="42">
        <v>1.0</v>
      </c>
      <c r="X163" s="43" t="s">
        <v>43</v>
      </c>
      <c r="Y163" s="42"/>
      <c r="Z163" s="42"/>
    </row>
    <row r="164">
      <c r="A164" s="42" t="s">
        <v>57</v>
      </c>
      <c r="B164" s="42" t="s">
        <v>47</v>
      </c>
      <c r="C164" s="42">
        <v>143550.0</v>
      </c>
      <c r="D164" s="42" t="s">
        <v>2408</v>
      </c>
      <c r="E164" s="42" t="s">
        <v>51</v>
      </c>
      <c r="F164" s="42">
        <v>11.62</v>
      </c>
      <c r="G164" s="42">
        <v>17.13</v>
      </c>
      <c r="H164" s="42">
        <v>5.51</v>
      </c>
      <c r="I164" s="42">
        <v>2.44</v>
      </c>
      <c r="J164" s="42">
        <v>30.0</v>
      </c>
      <c r="K164" s="42">
        <v>44.17</v>
      </c>
      <c r="L164" s="42">
        <v>0.0667</v>
      </c>
      <c r="M164" s="42">
        <v>14.44</v>
      </c>
      <c r="N164" s="42">
        <v>11.71</v>
      </c>
      <c r="O164" s="42">
        <v>0.0</v>
      </c>
      <c r="P164" s="42">
        <v>0.0</v>
      </c>
      <c r="Q164" s="42">
        <v>0.0</v>
      </c>
      <c r="R164" s="42">
        <v>0.3667</v>
      </c>
      <c r="S164" s="42">
        <v>0.2667</v>
      </c>
      <c r="T164" s="42" t="b">
        <v>1</v>
      </c>
      <c r="U164" s="42" t="b">
        <v>1</v>
      </c>
      <c r="V164" s="42"/>
      <c r="W164" s="42">
        <v>1.0</v>
      </c>
      <c r="X164" s="43" t="s">
        <v>43</v>
      </c>
      <c r="Y164" s="42"/>
      <c r="Z164" s="42"/>
    </row>
    <row r="165">
      <c r="A165" s="42" t="s">
        <v>574</v>
      </c>
      <c r="B165" s="42" t="s">
        <v>47</v>
      </c>
      <c r="C165" s="42">
        <v>514597.0</v>
      </c>
      <c r="D165" s="42" t="s">
        <v>2409</v>
      </c>
      <c r="E165" s="42" t="s">
        <v>51</v>
      </c>
      <c r="F165" s="42">
        <v>14.23</v>
      </c>
      <c r="G165" s="42">
        <v>19.73</v>
      </c>
      <c r="H165" s="42">
        <v>5.5</v>
      </c>
      <c r="I165" s="42">
        <v>1.53</v>
      </c>
      <c r="J165" s="42">
        <v>26.0</v>
      </c>
      <c r="K165" s="42">
        <v>20.32</v>
      </c>
      <c r="L165" s="42">
        <v>0.9231</v>
      </c>
      <c r="M165" s="42">
        <v>15.42</v>
      </c>
      <c r="N165" s="42">
        <v>14.46</v>
      </c>
      <c r="O165" s="42">
        <v>0.0</v>
      </c>
      <c r="P165" s="42">
        <v>0.0</v>
      </c>
      <c r="Q165" s="42">
        <v>0.0</v>
      </c>
      <c r="R165" s="42">
        <v>0.3077</v>
      </c>
      <c r="S165" s="42">
        <v>0.1923</v>
      </c>
      <c r="T165" s="42" t="b">
        <v>1</v>
      </c>
      <c r="U165" s="42" t="b">
        <v>1</v>
      </c>
      <c r="V165" s="42"/>
      <c r="W165" s="42">
        <v>1.0</v>
      </c>
      <c r="X165" s="43" t="s">
        <v>43</v>
      </c>
      <c r="Y165" s="42"/>
      <c r="Z165" s="42"/>
    </row>
    <row r="166">
      <c r="A166" s="42" t="s">
        <v>1600</v>
      </c>
      <c r="B166" s="42" t="s">
        <v>666</v>
      </c>
      <c r="C166" s="42">
        <v>133584.0</v>
      </c>
      <c r="D166" s="42" t="s">
        <v>2410</v>
      </c>
      <c r="E166" s="42" t="s">
        <v>51</v>
      </c>
      <c r="F166" s="42">
        <v>23.76</v>
      </c>
      <c r="G166" s="42">
        <v>29.26</v>
      </c>
      <c r="H166" s="42">
        <v>5.5</v>
      </c>
      <c r="I166" s="42">
        <v>2.34</v>
      </c>
      <c r="J166" s="42">
        <v>343.0</v>
      </c>
      <c r="K166" s="42" t="s">
        <v>39</v>
      </c>
      <c r="L166" s="42">
        <v>0.0</v>
      </c>
      <c r="M166" s="42">
        <v>18.91</v>
      </c>
      <c r="N166" s="42">
        <v>24.2</v>
      </c>
      <c r="O166" s="42">
        <v>0.0415</v>
      </c>
      <c r="P166" s="42">
        <v>0.0063</v>
      </c>
      <c r="Q166" s="42">
        <v>0.0478</v>
      </c>
      <c r="R166" s="42">
        <v>0.4665</v>
      </c>
      <c r="S166" s="42">
        <v>0.2362</v>
      </c>
      <c r="T166" s="42" t="b">
        <v>1</v>
      </c>
      <c r="U166" s="42" t="b">
        <v>1</v>
      </c>
      <c r="V166" s="42"/>
      <c r="W166" s="42">
        <v>1.0</v>
      </c>
      <c r="X166" s="43" t="s">
        <v>43</v>
      </c>
      <c r="Y166" s="42"/>
      <c r="Z166" s="42"/>
    </row>
    <row r="167">
      <c r="A167" s="42" t="s">
        <v>1580</v>
      </c>
      <c r="B167" s="42" t="s">
        <v>666</v>
      </c>
      <c r="C167" s="42">
        <v>527494.0</v>
      </c>
      <c r="D167" s="42" t="s">
        <v>2411</v>
      </c>
      <c r="E167" s="42" t="s">
        <v>51</v>
      </c>
      <c r="F167" s="42">
        <v>7.47</v>
      </c>
      <c r="G167" s="42">
        <v>12.9</v>
      </c>
      <c r="H167" s="42">
        <v>5.43</v>
      </c>
      <c r="I167" s="42">
        <v>1.4</v>
      </c>
      <c r="J167" s="42">
        <v>106.0</v>
      </c>
      <c r="K167" s="42">
        <v>15.16</v>
      </c>
      <c r="L167" s="42">
        <v>0.7358</v>
      </c>
      <c r="M167" s="42">
        <v>7.9</v>
      </c>
      <c r="N167" s="42">
        <v>7.47</v>
      </c>
      <c r="O167" s="42">
        <v>0.0142</v>
      </c>
      <c r="P167" s="42">
        <v>0.0079</v>
      </c>
      <c r="Q167" s="42">
        <v>0.0221</v>
      </c>
      <c r="R167" s="42">
        <v>0.5189</v>
      </c>
      <c r="S167" s="42">
        <v>0.1604</v>
      </c>
      <c r="T167" s="42" t="b">
        <v>1</v>
      </c>
      <c r="U167" s="42" t="b">
        <v>1</v>
      </c>
      <c r="V167" s="42"/>
      <c r="W167" s="42">
        <v>1.0</v>
      </c>
      <c r="X167" s="43" t="s">
        <v>43</v>
      </c>
      <c r="Y167" s="42"/>
      <c r="Z167" s="42"/>
    </row>
    <row r="168">
      <c r="A168" s="42" t="s">
        <v>86</v>
      </c>
      <c r="B168" s="42" t="s">
        <v>666</v>
      </c>
      <c r="C168" s="42">
        <v>575450.0</v>
      </c>
      <c r="D168" s="42" t="s">
        <v>2115</v>
      </c>
      <c r="E168" s="42" t="s">
        <v>51</v>
      </c>
      <c r="F168" s="42">
        <v>12.91</v>
      </c>
      <c r="G168" s="42">
        <v>18.34</v>
      </c>
      <c r="H168" s="42">
        <v>5.43</v>
      </c>
      <c r="I168" s="42">
        <v>2.19</v>
      </c>
      <c r="J168" s="42">
        <v>335.0</v>
      </c>
      <c r="K168" s="42" t="s">
        <v>39</v>
      </c>
      <c r="L168" s="42">
        <v>0.0</v>
      </c>
      <c r="M168" s="42">
        <v>12.79</v>
      </c>
      <c r="N168" s="42">
        <v>12.91</v>
      </c>
      <c r="O168" s="42">
        <v>0.0306</v>
      </c>
      <c r="P168" s="42">
        <v>0.0134</v>
      </c>
      <c r="Q168" s="42">
        <v>0.044</v>
      </c>
      <c r="R168" s="42">
        <v>0.4537</v>
      </c>
      <c r="S168" s="42">
        <v>0.2418</v>
      </c>
      <c r="T168" s="42" t="b">
        <v>1</v>
      </c>
      <c r="U168" s="42" t="b">
        <v>1</v>
      </c>
      <c r="V168" s="42"/>
      <c r="W168" s="42">
        <v>1.0</v>
      </c>
      <c r="X168" s="43" t="s">
        <v>43</v>
      </c>
      <c r="Y168" s="42"/>
      <c r="Z168" s="42"/>
    </row>
    <row r="169">
      <c r="A169" s="42" t="s">
        <v>949</v>
      </c>
      <c r="B169" s="42" t="s">
        <v>47</v>
      </c>
      <c r="C169" s="42">
        <v>506227.0</v>
      </c>
      <c r="D169" s="42" t="s">
        <v>2412</v>
      </c>
      <c r="E169" s="42" t="s">
        <v>51</v>
      </c>
      <c r="F169" s="42">
        <v>7.55</v>
      </c>
      <c r="G169" s="42">
        <v>12.93</v>
      </c>
      <c r="H169" s="42">
        <v>5.38</v>
      </c>
      <c r="I169" s="42">
        <v>0.01</v>
      </c>
      <c r="J169" s="42">
        <v>29.0</v>
      </c>
      <c r="K169" s="42">
        <v>8.85</v>
      </c>
      <c r="L169" s="42">
        <v>0.931</v>
      </c>
      <c r="M169" s="42">
        <v>7.9</v>
      </c>
      <c r="N169" s="42">
        <v>7.55</v>
      </c>
      <c r="O169" s="42">
        <v>0.0345</v>
      </c>
      <c r="P169" s="42">
        <v>0.0</v>
      </c>
      <c r="Q169" s="42">
        <v>0.0345</v>
      </c>
      <c r="R169" s="42">
        <v>0.6897</v>
      </c>
      <c r="S169" s="42">
        <v>0.0</v>
      </c>
      <c r="T169" s="42" t="b">
        <v>1</v>
      </c>
      <c r="U169" s="42" t="b">
        <v>1</v>
      </c>
      <c r="V169" s="42"/>
      <c r="W169" s="42">
        <v>1.0</v>
      </c>
      <c r="X169" s="43" t="s">
        <v>43</v>
      </c>
      <c r="Y169" s="42"/>
      <c r="Z169" s="42"/>
    </row>
    <row r="170">
      <c r="A170" s="42" t="s">
        <v>39</v>
      </c>
      <c r="B170" s="42" t="s">
        <v>47</v>
      </c>
      <c r="C170" s="42">
        <v>632443.0</v>
      </c>
      <c r="D170" s="42" t="s">
        <v>2413</v>
      </c>
      <c r="E170" s="42" t="s">
        <v>25</v>
      </c>
      <c r="F170" s="42">
        <v>10.63</v>
      </c>
      <c r="G170" s="42">
        <v>16.0</v>
      </c>
      <c r="H170" s="42">
        <v>5.37</v>
      </c>
      <c r="I170" s="42">
        <v>0.64</v>
      </c>
      <c r="J170" s="42">
        <v>38.0</v>
      </c>
      <c r="K170" s="42">
        <v>10.63</v>
      </c>
      <c r="L170" s="42">
        <v>0.8947</v>
      </c>
      <c r="M170" s="42">
        <v>11.94</v>
      </c>
      <c r="N170" s="42">
        <v>16.0</v>
      </c>
      <c r="O170" s="42">
        <v>0.0</v>
      </c>
      <c r="P170" s="42">
        <v>0.0</v>
      </c>
      <c r="Q170" s="42">
        <v>0.0</v>
      </c>
      <c r="R170" s="42">
        <v>0.7368</v>
      </c>
      <c r="S170" s="42">
        <v>0.0789</v>
      </c>
      <c r="T170" s="42" t="b">
        <v>1</v>
      </c>
      <c r="U170" s="42" t="b">
        <v>1</v>
      </c>
      <c r="V170" s="42"/>
      <c r="W170" s="42">
        <v>1.0</v>
      </c>
      <c r="X170" s="43" t="s">
        <v>43</v>
      </c>
      <c r="Y170" s="42"/>
      <c r="Z170" s="42"/>
    </row>
    <row r="171">
      <c r="A171" s="42" t="s">
        <v>39</v>
      </c>
      <c r="B171" s="42" t="s">
        <v>47</v>
      </c>
      <c r="C171" s="42">
        <v>499294.0</v>
      </c>
      <c r="D171" s="42" t="s">
        <v>2414</v>
      </c>
      <c r="E171" s="42" t="s">
        <v>2284</v>
      </c>
      <c r="F171" s="42">
        <v>12.55</v>
      </c>
      <c r="G171" s="42">
        <v>17.92</v>
      </c>
      <c r="H171" s="42">
        <v>5.37</v>
      </c>
      <c r="I171" s="42">
        <v>0.03</v>
      </c>
      <c r="J171" s="42">
        <v>26.0</v>
      </c>
      <c r="K171" s="42">
        <v>20.42</v>
      </c>
      <c r="L171" s="42">
        <v>1.0</v>
      </c>
      <c r="M171" s="42">
        <v>17.1</v>
      </c>
      <c r="N171" s="42">
        <v>17.92</v>
      </c>
      <c r="O171" s="42">
        <v>0.0</v>
      </c>
      <c r="P171" s="42">
        <v>0.0</v>
      </c>
      <c r="Q171" s="42">
        <v>0.0</v>
      </c>
      <c r="R171" s="42">
        <v>0.8462</v>
      </c>
      <c r="S171" s="42">
        <v>0.0</v>
      </c>
      <c r="T171" s="42" t="b">
        <v>1</v>
      </c>
      <c r="U171" s="42" t="b">
        <v>1</v>
      </c>
      <c r="V171" s="42"/>
      <c r="W171" s="42">
        <v>1.0</v>
      </c>
      <c r="X171" s="43" t="s">
        <v>43</v>
      </c>
      <c r="Y171" s="42"/>
      <c r="Z171" s="42"/>
    </row>
    <row r="172">
      <c r="A172" s="42" t="s">
        <v>39</v>
      </c>
      <c r="B172" s="42" t="s">
        <v>47</v>
      </c>
      <c r="C172" s="42">
        <v>621230.0</v>
      </c>
      <c r="D172" s="42" t="s">
        <v>2415</v>
      </c>
      <c r="E172" s="42" t="s">
        <v>2284</v>
      </c>
      <c r="F172" s="42">
        <v>21.5</v>
      </c>
      <c r="G172" s="42">
        <v>26.87</v>
      </c>
      <c r="H172" s="42">
        <v>5.37</v>
      </c>
      <c r="I172" s="42">
        <v>2.87</v>
      </c>
      <c r="J172" s="42">
        <v>31.0</v>
      </c>
      <c r="K172" s="42">
        <v>29.32</v>
      </c>
      <c r="L172" s="42">
        <v>0.9355</v>
      </c>
      <c r="M172" s="42">
        <v>14.21</v>
      </c>
      <c r="N172" s="42">
        <v>26.87</v>
      </c>
      <c r="O172" s="42">
        <v>0.0</v>
      </c>
      <c r="P172" s="42">
        <v>0.0323</v>
      </c>
      <c r="Q172" s="42">
        <v>0.0323</v>
      </c>
      <c r="R172" s="42">
        <v>0.6452</v>
      </c>
      <c r="S172" s="42">
        <v>0.2581</v>
      </c>
      <c r="T172" s="42" t="b">
        <v>1</v>
      </c>
      <c r="U172" s="42" t="b">
        <v>1</v>
      </c>
      <c r="V172" s="42"/>
      <c r="W172" s="42">
        <v>1.0</v>
      </c>
      <c r="X172" s="43" t="s">
        <v>43</v>
      </c>
      <c r="Y172" s="42"/>
      <c r="Z172" s="42"/>
    </row>
    <row r="173">
      <c r="A173" s="42" t="s">
        <v>49</v>
      </c>
      <c r="B173" s="42" t="s">
        <v>47</v>
      </c>
      <c r="C173" s="42">
        <v>98908.0</v>
      </c>
      <c r="D173" s="42" t="s">
        <v>2416</v>
      </c>
      <c r="E173" s="42" t="s">
        <v>51</v>
      </c>
      <c r="F173" s="42">
        <v>10.9</v>
      </c>
      <c r="G173" s="42">
        <v>16.26</v>
      </c>
      <c r="H173" s="42">
        <v>5.36</v>
      </c>
      <c r="I173" s="42">
        <v>2.87</v>
      </c>
      <c r="J173" s="42">
        <v>39.0</v>
      </c>
      <c r="K173" s="42" t="s">
        <v>39</v>
      </c>
      <c r="L173" s="42">
        <v>0.0</v>
      </c>
      <c r="M173" s="42">
        <v>11.74</v>
      </c>
      <c r="N173" s="42">
        <v>10.9</v>
      </c>
      <c r="O173" s="42">
        <v>0.0</v>
      </c>
      <c r="P173" s="42">
        <v>0.0</v>
      </c>
      <c r="Q173" s="42">
        <v>0.0</v>
      </c>
      <c r="R173" s="42">
        <v>0.5128</v>
      </c>
      <c r="S173" s="42">
        <v>0.2564</v>
      </c>
      <c r="T173" s="42" t="b">
        <v>1</v>
      </c>
      <c r="U173" s="42" t="b">
        <v>1</v>
      </c>
      <c r="V173" s="42"/>
      <c r="W173" s="42">
        <v>1.0</v>
      </c>
      <c r="X173" s="43" t="s">
        <v>43</v>
      </c>
      <c r="Y173" s="42"/>
      <c r="Z173" s="42"/>
    </row>
    <row r="174">
      <c r="A174" s="42" t="s">
        <v>1088</v>
      </c>
      <c r="B174" s="42" t="s">
        <v>40</v>
      </c>
      <c r="C174" s="42">
        <v>222103.0</v>
      </c>
      <c r="D174" s="42" t="s">
        <v>2417</v>
      </c>
      <c r="E174" s="42" t="s">
        <v>51</v>
      </c>
      <c r="F174" s="42">
        <v>19.97</v>
      </c>
      <c r="G174" s="42">
        <v>25.33</v>
      </c>
      <c r="H174" s="42">
        <v>5.36</v>
      </c>
      <c r="I174" s="42">
        <v>3.25</v>
      </c>
      <c r="J174" s="42">
        <v>756.0</v>
      </c>
      <c r="K174" s="42">
        <v>23.8</v>
      </c>
      <c r="L174" s="42">
        <v>0.7672</v>
      </c>
      <c r="M174" s="42">
        <v>23.21</v>
      </c>
      <c r="N174" s="42">
        <v>19.97</v>
      </c>
      <c r="O174" s="42">
        <v>0.0615</v>
      </c>
      <c r="P174" s="42">
        <v>0.0287</v>
      </c>
      <c r="Q174" s="42">
        <v>0.0902</v>
      </c>
      <c r="R174" s="42">
        <v>0.5132</v>
      </c>
      <c r="S174" s="42">
        <v>0.2751</v>
      </c>
      <c r="T174" s="42" t="b">
        <v>1</v>
      </c>
      <c r="U174" s="42" t="b">
        <v>1</v>
      </c>
      <c r="V174" s="42"/>
      <c r="W174" s="42">
        <v>1.0</v>
      </c>
      <c r="X174" s="43" t="s">
        <v>43</v>
      </c>
      <c r="Y174" s="42"/>
      <c r="Z174" s="42"/>
    </row>
    <row r="175">
      <c r="A175" s="42" t="s">
        <v>131</v>
      </c>
      <c r="B175" s="42" t="s">
        <v>88</v>
      </c>
      <c r="C175" s="42">
        <v>455044.0</v>
      </c>
      <c r="D175" s="42" t="s">
        <v>2418</v>
      </c>
      <c r="E175" s="42" t="s">
        <v>51</v>
      </c>
      <c r="F175" s="42">
        <v>14.54</v>
      </c>
      <c r="G175" s="42">
        <v>19.88</v>
      </c>
      <c r="H175" s="42">
        <v>5.34</v>
      </c>
      <c r="I175" s="42">
        <v>3.58</v>
      </c>
      <c r="J175" s="42">
        <v>122.0</v>
      </c>
      <c r="K175" s="42">
        <v>25.45</v>
      </c>
      <c r="L175" s="42">
        <v>0.6967</v>
      </c>
      <c r="M175" s="42">
        <v>15.42</v>
      </c>
      <c r="N175" s="42">
        <v>14.54</v>
      </c>
      <c r="O175" s="42">
        <v>0.0164</v>
      </c>
      <c r="P175" s="42">
        <v>0.0301</v>
      </c>
      <c r="Q175" s="42">
        <v>0.0465</v>
      </c>
      <c r="R175" s="42">
        <v>0.6066</v>
      </c>
      <c r="S175" s="42">
        <v>0.2377</v>
      </c>
      <c r="T175" s="42" t="b">
        <v>1</v>
      </c>
      <c r="U175" s="42" t="b">
        <v>1</v>
      </c>
      <c r="V175" s="42"/>
      <c r="W175" s="42">
        <v>1.0</v>
      </c>
      <c r="X175" s="43" t="s">
        <v>43</v>
      </c>
      <c r="Y175" s="42"/>
      <c r="Z175" s="42"/>
    </row>
    <row r="176">
      <c r="A176" s="42" t="s">
        <v>39</v>
      </c>
      <c r="B176" s="42" t="s">
        <v>47</v>
      </c>
      <c r="C176" s="42">
        <v>160176.0</v>
      </c>
      <c r="D176" s="42" t="s">
        <v>2419</v>
      </c>
      <c r="E176" s="42" t="s">
        <v>2284</v>
      </c>
      <c r="F176" s="42">
        <v>16.01</v>
      </c>
      <c r="G176" s="42">
        <v>21.35</v>
      </c>
      <c r="H176" s="42">
        <v>5.34</v>
      </c>
      <c r="I176" s="42">
        <v>0.42</v>
      </c>
      <c r="J176" s="42">
        <v>37.0</v>
      </c>
      <c r="K176" s="42">
        <v>27.02</v>
      </c>
      <c r="L176" s="42">
        <v>1.0</v>
      </c>
      <c r="M176" s="42">
        <v>23.21</v>
      </c>
      <c r="N176" s="42">
        <v>21.35</v>
      </c>
      <c r="O176" s="42">
        <v>0.0</v>
      </c>
      <c r="P176" s="42">
        <v>0.009</v>
      </c>
      <c r="Q176" s="42">
        <v>0.009</v>
      </c>
      <c r="R176" s="42">
        <v>0.7027</v>
      </c>
      <c r="S176" s="42">
        <v>0.0811</v>
      </c>
      <c r="T176" s="42" t="b">
        <v>1</v>
      </c>
      <c r="U176" s="42" t="b">
        <v>1</v>
      </c>
      <c r="V176" s="42"/>
      <c r="W176" s="42">
        <v>1.0</v>
      </c>
      <c r="X176" s="43" t="s">
        <v>43</v>
      </c>
      <c r="Y176" s="42"/>
      <c r="Z176" s="42"/>
    </row>
    <row r="177">
      <c r="A177" s="42" t="s">
        <v>1600</v>
      </c>
      <c r="B177" s="42" t="s">
        <v>88</v>
      </c>
      <c r="C177" s="42">
        <v>141111.0</v>
      </c>
      <c r="D177" s="42" t="s">
        <v>2420</v>
      </c>
      <c r="E177" s="42" t="s">
        <v>51</v>
      </c>
      <c r="F177" s="42">
        <v>16.58</v>
      </c>
      <c r="G177" s="42">
        <v>21.92</v>
      </c>
      <c r="H177" s="42">
        <v>5.34</v>
      </c>
      <c r="I177" s="42">
        <v>1.16</v>
      </c>
      <c r="J177" s="42">
        <v>112.0</v>
      </c>
      <c r="K177" s="42" t="s">
        <v>39</v>
      </c>
      <c r="L177" s="42">
        <v>0.0</v>
      </c>
      <c r="M177" s="42">
        <v>18.91</v>
      </c>
      <c r="N177" s="42">
        <v>16.58</v>
      </c>
      <c r="O177" s="42">
        <v>0.0</v>
      </c>
      <c r="P177" s="42">
        <v>0.0089</v>
      </c>
      <c r="Q177" s="42">
        <v>0.0089</v>
      </c>
      <c r="R177" s="42">
        <v>0.4018</v>
      </c>
      <c r="S177" s="42">
        <v>0.0982</v>
      </c>
      <c r="T177" s="42" t="b">
        <v>1</v>
      </c>
      <c r="U177" s="42" t="b">
        <v>1</v>
      </c>
      <c r="V177" s="42"/>
      <c r="W177" s="42">
        <v>1.0</v>
      </c>
      <c r="X177" s="43" t="s">
        <v>43</v>
      </c>
      <c r="Y177" s="42"/>
      <c r="Z177" s="42"/>
    </row>
    <row r="178">
      <c r="A178" s="42" t="s">
        <v>663</v>
      </c>
      <c r="B178" s="42" t="s">
        <v>44</v>
      </c>
      <c r="C178" s="42">
        <v>160249.0</v>
      </c>
      <c r="D178" s="42" t="s">
        <v>2421</v>
      </c>
      <c r="E178" s="42" t="s">
        <v>51</v>
      </c>
      <c r="F178" s="42">
        <v>18.05</v>
      </c>
      <c r="G178" s="42">
        <v>23.39</v>
      </c>
      <c r="H178" s="42">
        <v>5.34</v>
      </c>
      <c r="I178" s="42">
        <v>4.6</v>
      </c>
      <c r="J178" s="42">
        <v>295.0</v>
      </c>
      <c r="K178" s="42">
        <v>20.5</v>
      </c>
      <c r="L178" s="42">
        <v>0.5051</v>
      </c>
      <c r="M178" s="42">
        <v>18.91</v>
      </c>
      <c r="N178" s="42">
        <v>18.05</v>
      </c>
      <c r="O178" s="42">
        <v>0.0102</v>
      </c>
      <c r="P178" s="42">
        <v>0.0209</v>
      </c>
      <c r="Q178" s="42">
        <v>0.0311</v>
      </c>
      <c r="R178" s="42">
        <v>0.2203</v>
      </c>
      <c r="S178" s="42">
        <v>0.4305</v>
      </c>
      <c r="T178" s="42" t="b">
        <v>1</v>
      </c>
      <c r="U178" s="42" t="b">
        <v>1</v>
      </c>
      <c r="V178" s="42"/>
      <c r="W178" s="42">
        <v>1.0</v>
      </c>
      <c r="X178" s="43" t="s">
        <v>43</v>
      </c>
      <c r="Y178" s="42"/>
      <c r="Z178" s="42"/>
    </row>
    <row r="179">
      <c r="A179" s="42" t="s">
        <v>521</v>
      </c>
      <c r="B179" s="42" t="s">
        <v>47</v>
      </c>
      <c r="C179" s="42">
        <v>515639.0</v>
      </c>
      <c r="D179" s="42" t="s">
        <v>2422</v>
      </c>
      <c r="E179" s="42" t="s">
        <v>51</v>
      </c>
      <c r="F179" s="42">
        <v>8.93</v>
      </c>
      <c r="G179" s="42">
        <v>14.25</v>
      </c>
      <c r="H179" s="42">
        <v>5.32</v>
      </c>
      <c r="I179" s="42">
        <v>3.1</v>
      </c>
      <c r="J179" s="42">
        <v>55.0</v>
      </c>
      <c r="K179" s="42">
        <v>13.89</v>
      </c>
      <c r="L179" s="42">
        <v>0.2182</v>
      </c>
      <c r="M179" s="42">
        <v>23.21</v>
      </c>
      <c r="N179" s="42">
        <v>8.93</v>
      </c>
      <c r="O179" s="42">
        <v>0.0</v>
      </c>
      <c r="P179" s="42">
        <v>0.0</v>
      </c>
      <c r="Q179" s="42">
        <v>0.0</v>
      </c>
      <c r="R179" s="42">
        <v>0.3455</v>
      </c>
      <c r="S179" s="42">
        <v>0.3273</v>
      </c>
      <c r="T179" s="42" t="b">
        <v>1</v>
      </c>
      <c r="U179" s="42" t="b">
        <v>1</v>
      </c>
      <c r="V179" s="42"/>
      <c r="W179" s="42">
        <v>1.0</v>
      </c>
      <c r="X179" s="43" t="s">
        <v>43</v>
      </c>
      <c r="Y179" s="42"/>
      <c r="Z179" s="42"/>
    </row>
    <row r="180">
      <c r="A180" s="42" t="s">
        <v>413</v>
      </c>
      <c r="B180" s="42" t="s">
        <v>44</v>
      </c>
      <c r="C180" s="42">
        <v>204005.0</v>
      </c>
      <c r="D180" s="42" t="s">
        <v>2423</v>
      </c>
      <c r="E180" s="42" t="s">
        <v>51</v>
      </c>
      <c r="F180" s="42">
        <v>13.28</v>
      </c>
      <c r="G180" s="42">
        <v>18.59</v>
      </c>
      <c r="H180" s="42">
        <v>5.31</v>
      </c>
      <c r="I180" s="42">
        <v>4.58</v>
      </c>
      <c r="J180" s="42">
        <v>199.0</v>
      </c>
      <c r="K180" s="42" t="s">
        <v>39</v>
      </c>
      <c r="L180" s="42">
        <v>0.0</v>
      </c>
      <c r="M180" s="42">
        <v>14.21</v>
      </c>
      <c r="N180" s="42">
        <v>13.95</v>
      </c>
      <c r="O180" s="42">
        <v>0.0126</v>
      </c>
      <c r="P180" s="42">
        <v>0.0427</v>
      </c>
      <c r="Q180" s="42">
        <v>0.0553</v>
      </c>
      <c r="R180" s="42">
        <v>0.2613</v>
      </c>
      <c r="S180" s="42">
        <v>0.397</v>
      </c>
      <c r="T180" s="42" t="b">
        <v>1</v>
      </c>
      <c r="U180" s="42" t="b">
        <v>1</v>
      </c>
      <c r="V180" s="42"/>
      <c r="W180" s="42">
        <v>1.0</v>
      </c>
      <c r="X180" s="43" t="s">
        <v>43</v>
      </c>
      <c r="Y180" s="42"/>
      <c r="Z180" s="42"/>
    </row>
    <row r="181">
      <c r="A181" s="42" t="s">
        <v>1600</v>
      </c>
      <c r="B181" s="42" t="s">
        <v>88</v>
      </c>
      <c r="C181" s="42">
        <v>141482.0</v>
      </c>
      <c r="D181" s="42" t="s">
        <v>2424</v>
      </c>
      <c r="E181" s="42" t="s">
        <v>51</v>
      </c>
      <c r="F181" s="42">
        <v>16.58</v>
      </c>
      <c r="G181" s="42">
        <v>21.88</v>
      </c>
      <c r="H181" s="42">
        <v>5.3</v>
      </c>
      <c r="I181" s="42">
        <v>1.19</v>
      </c>
      <c r="J181" s="42">
        <v>148.0</v>
      </c>
      <c r="K181" s="42" t="s">
        <v>39</v>
      </c>
      <c r="L181" s="42">
        <v>0.0</v>
      </c>
      <c r="M181" s="42">
        <v>18.91</v>
      </c>
      <c r="N181" s="42">
        <v>16.58</v>
      </c>
      <c r="O181" s="42">
        <v>0.0</v>
      </c>
      <c r="P181" s="42">
        <v>0.0</v>
      </c>
      <c r="Q181" s="42">
        <v>0.0</v>
      </c>
      <c r="R181" s="42">
        <v>0.4324</v>
      </c>
      <c r="S181" s="42">
        <v>0.1284</v>
      </c>
      <c r="T181" s="42" t="b">
        <v>1</v>
      </c>
      <c r="U181" s="42" t="b">
        <v>1</v>
      </c>
      <c r="V181" s="42"/>
      <c r="W181" s="42">
        <v>1.0</v>
      </c>
      <c r="X181" s="43" t="s">
        <v>43</v>
      </c>
      <c r="Y181" s="42"/>
      <c r="Z181" s="42"/>
    </row>
    <row r="182">
      <c r="A182" s="42" t="s">
        <v>2052</v>
      </c>
      <c r="B182" s="42" t="s">
        <v>666</v>
      </c>
      <c r="C182" s="42">
        <v>549637.0</v>
      </c>
      <c r="D182" s="42" t="s">
        <v>2425</v>
      </c>
      <c r="E182" s="42" t="s">
        <v>51</v>
      </c>
      <c r="F182" s="42">
        <v>18.45</v>
      </c>
      <c r="G182" s="42">
        <v>23.72</v>
      </c>
      <c r="H182" s="42">
        <v>5.27</v>
      </c>
      <c r="I182" s="42">
        <v>3.67</v>
      </c>
      <c r="J182" s="42">
        <v>373.0</v>
      </c>
      <c r="K182" s="42">
        <v>20.73</v>
      </c>
      <c r="L182" s="42">
        <v>0.3351</v>
      </c>
      <c r="M182" s="42">
        <v>18.91</v>
      </c>
      <c r="N182" s="42">
        <v>18.45</v>
      </c>
      <c r="O182" s="42">
        <v>0.0409</v>
      </c>
      <c r="P182" s="42">
        <v>0.0273</v>
      </c>
      <c r="Q182" s="42">
        <v>0.0682</v>
      </c>
      <c r="R182" s="42">
        <v>0.3271</v>
      </c>
      <c r="S182" s="42">
        <v>0.3351</v>
      </c>
      <c r="T182" s="42" t="b">
        <v>1</v>
      </c>
      <c r="U182" s="42" t="b">
        <v>1</v>
      </c>
      <c r="V182" s="42"/>
      <c r="W182" s="42">
        <v>1.0</v>
      </c>
      <c r="X182" s="43" t="s">
        <v>43</v>
      </c>
      <c r="Y182" s="42"/>
      <c r="Z182" s="42"/>
    </row>
    <row r="183">
      <c r="A183" s="42" t="s">
        <v>57</v>
      </c>
      <c r="B183" s="42" t="s">
        <v>47</v>
      </c>
      <c r="C183" s="42">
        <v>571133.0</v>
      </c>
      <c r="D183" s="42" t="s">
        <v>2426</v>
      </c>
      <c r="E183" s="42" t="s">
        <v>51</v>
      </c>
      <c r="F183" s="42">
        <v>11.62</v>
      </c>
      <c r="G183" s="42">
        <v>16.88</v>
      </c>
      <c r="H183" s="42">
        <v>5.26</v>
      </c>
      <c r="I183" s="42">
        <v>4.15</v>
      </c>
      <c r="J183" s="42">
        <v>69.0</v>
      </c>
      <c r="K183" s="42">
        <v>14.41</v>
      </c>
      <c r="L183" s="42">
        <v>0.0435</v>
      </c>
      <c r="M183" s="42">
        <v>14.44</v>
      </c>
      <c r="N183" s="42">
        <v>11.71</v>
      </c>
      <c r="O183" s="42">
        <v>0.0</v>
      </c>
      <c r="P183" s="42">
        <v>0.0435</v>
      </c>
      <c r="Q183" s="42">
        <v>0.0435</v>
      </c>
      <c r="R183" s="42">
        <v>0.4203</v>
      </c>
      <c r="S183" s="42">
        <v>0.2754</v>
      </c>
      <c r="T183" s="42" t="b">
        <v>1</v>
      </c>
      <c r="U183" s="42" t="b">
        <v>1</v>
      </c>
      <c r="V183" s="42"/>
      <c r="W183" s="42">
        <v>1.0</v>
      </c>
      <c r="X183" s="43" t="s">
        <v>43</v>
      </c>
      <c r="Y183" s="42"/>
      <c r="Z183" s="42"/>
    </row>
    <row r="184">
      <c r="A184" s="42" t="s">
        <v>86</v>
      </c>
      <c r="B184" s="42" t="s">
        <v>44</v>
      </c>
      <c r="C184" s="42">
        <v>532035.0</v>
      </c>
      <c r="D184" s="42" t="s">
        <v>255</v>
      </c>
      <c r="E184" s="42" t="s">
        <v>51</v>
      </c>
      <c r="F184" s="42">
        <v>11.72</v>
      </c>
      <c r="G184" s="42">
        <v>16.97</v>
      </c>
      <c r="H184" s="42">
        <v>5.25</v>
      </c>
      <c r="I184" s="42">
        <v>4.81</v>
      </c>
      <c r="J184" s="42">
        <v>194.0</v>
      </c>
      <c r="K184" s="42" t="s">
        <v>39</v>
      </c>
      <c r="L184" s="42">
        <v>0.0</v>
      </c>
      <c r="M184" s="42">
        <v>12.79</v>
      </c>
      <c r="N184" s="42">
        <v>11.72</v>
      </c>
      <c r="O184" s="42">
        <v>0.0245</v>
      </c>
      <c r="P184" s="42">
        <v>0.0069</v>
      </c>
      <c r="Q184" s="42">
        <v>0.0314</v>
      </c>
      <c r="R184" s="42">
        <v>0.1546</v>
      </c>
      <c r="S184" s="42">
        <v>0.4639</v>
      </c>
      <c r="T184" s="42" t="b">
        <v>1</v>
      </c>
      <c r="U184" s="42" t="b">
        <v>1</v>
      </c>
      <c r="V184" s="42"/>
      <c r="W184" s="42">
        <v>1.0</v>
      </c>
      <c r="X184" s="43" t="s">
        <v>43</v>
      </c>
      <c r="Y184" s="42"/>
      <c r="Z184" s="42"/>
    </row>
    <row r="185">
      <c r="A185" s="42" t="s">
        <v>1600</v>
      </c>
      <c r="B185" s="42" t="s">
        <v>88</v>
      </c>
      <c r="C185" s="42">
        <v>144829.0</v>
      </c>
      <c r="D185" s="42" t="s">
        <v>2427</v>
      </c>
      <c r="E185" s="42" t="s">
        <v>51</v>
      </c>
      <c r="F185" s="42">
        <v>16.58</v>
      </c>
      <c r="G185" s="42">
        <v>21.83</v>
      </c>
      <c r="H185" s="42">
        <v>5.25</v>
      </c>
      <c r="I185" s="42">
        <v>1.43</v>
      </c>
      <c r="J185" s="42">
        <v>115.0</v>
      </c>
      <c r="K185" s="42" t="s">
        <v>39</v>
      </c>
      <c r="L185" s="42">
        <v>0.0</v>
      </c>
      <c r="M185" s="42">
        <v>18.91</v>
      </c>
      <c r="N185" s="42">
        <v>16.58</v>
      </c>
      <c r="O185" s="42">
        <v>0.0</v>
      </c>
      <c r="P185" s="42">
        <v>0.0174</v>
      </c>
      <c r="Q185" s="42">
        <v>0.0174</v>
      </c>
      <c r="R185" s="42">
        <v>0.6348</v>
      </c>
      <c r="S185" s="42">
        <v>0.1304</v>
      </c>
      <c r="T185" s="42" t="b">
        <v>1</v>
      </c>
      <c r="U185" s="42" t="b">
        <v>1</v>
      </c>
      <c r="V185" s="42"/>
      <c r="W185" s="42">
        <v>1.0</v>
      </c>
      <c r="X185" s="43" t="s">
        <v>43</v>
      </c>
      <c r="Y185" s="42"/>
      <c r="Z185" s="42"/>
    </row>
    <row r="186">
      <c r="A186" s="42" t="s">
        <v>57</v>
      </c>
      <c r="B186" s="42" t="s">
        <v>47</v>
      </c>
      <c r="C186" s="42">
        <v>128884.0</v>
      </c>
      <c r="D186" s="42" t="s">
        <v>2428</v>
      </c>
      <c r="E186" s="42" t="s">
        <v>51</v>
      </c>
      <c r="F186" s="42">
        <v>11.62</v>
      </c>
      <c r="G186" s="42">
        <v>16.85</v>
      </c>
      <c r="H186" s="42">
        <v>5.23</v>
      </c>
      <c r="I186" s="42">
        <v>2.8</v>
      </c>
      <c r="J186" s="42">
        <v>34.0</v>
      </c>
      <c r="K186" s="42">
        <v>0.58</v>
      </c>
      <c r="L186" s="42">
        <v>0.0294</v>
      </c>
      <c r="M186" s="42">
        <v>14.44</v>
      </c>
      <c r="N186" s="42">
        <v>11.71</v>
      </c>
      <c r="O186" s="42">
        <v>0.0</v>
      </c>
      <c r="P186" s="42">
        <v>0.0</v>
      </c>
      <c r="Q186" s="42">
        <v>0.0</v>
      </c>
      <c r="R186" s="42">
        <v>0.2647</v>
      </c>
      <c r="S186" s="42">
        <v>0.3235</v>
      </c>
      <c r="T186" s="42" t="b">
        <v>1</v>
      </c>
      <c r="U186" s="42" t="b">
        <v>1</v>
      </c>
      <c r="V186" s="42"/>
      <c r="W186" s="42">
        <v>1.0</v>
      </c>
      <c r="X186" s="43" t="s">
        <v>43</v>
      </c>
      <c r="Y186" s="42"/>
      <c r="Z186" s="42"/>
    </row>
    <row r="187">
      <c r="A187" s="42" t="s">
        <v>492</v>
      </c>
      <c r="B187" s="42" t="s">
        <v>47</v>
      </c>
      <c r="C187" s="42">
        <v>389824.0</v>
      </c>
      <c r="D187" s="42" t="s">
        <v>2429</v>
      </c>
      <c r="E187" s="42" t="s">
        <v>51</v>
      </c>
      <c r="F187" s="42">
        <v>20.5</v>
      </c>
      <c r="G187" s="42">
        <v>25.72</v>
      </c>
      <c r="H187" s="42">
        <v>5.22</v>
      </c>
      <c r="I187" s="42">
        <v>3.69</v>
      </c>
      <c r="J187" s="42">
        <v>32.0</v>
      </c>
      <c r="K187" s="42" t="s">
        <v>39</v>
      </c>
      <c r="L187" s="42">
        <v>0.0</v>
      </c>
      <c r="M187" s="42">
        <v>17.64</v>
      </c>
      <c r="N187" s="42">
        <v>20.5</v>
      </c>
      <c r="O187" s="42">
        <v>0.0</v>
      </c>
      <c r="P187" s="42">
        <v>0.0313</v>
      </c>
      <c r="Q187" s="42">
        <v>0.0313</v>
      </c>
      <c r="R187" s="42">
        <v>0.3125</v>
      </c>
      <c r="S187" s="42">
        <v>0.2188</v>
      </c>
      <c r="T187" s="42" t="b">
        <v>1</v>
      </c>
      <c r="U187" s="42" t="b">
        <v>1</v>
      </c>
      <c r="V187" s="42"/>
      <c r="W187" s="42">
        <v>1.0</v>
      </c>
      <c r="X187" s="43" t="s">
        <v>43</v>
      </c>
      <c r="Y187" s="42"/>
      <c r="Z187" s="42"/>
    </row>
    <row r="188">
      <c r="A188" s="42" t="s">
        <v>700</v>
      </c>
      <c r="B188" s="42" t="s">
        <v>88</v>
      </c>
      <c r="C188" s="42">
        <v>100004.0</v>
      </c>
      <c r="D188" s="42" t="s">
        <v>2430</v>
      </c>
      <c r="E188" s="42" t="s">
        <v>25</v>
      </c>
      <c r="F188" s="42">
        <v>10.31</v>
      </c>
      <c r="G188" s="42">
        <v>15.52</v>
      </c>
      <c r="H188" s="42">
        <v>5.21</v>
      </c>
      <c r="I188" s="42">
        <v>4.13</v>
      </c>
      <c r="J188" s="42">
        <v>79.0</v>
      </c>
      <c r="K188" s="42">
        <v>10.31</v>
      </c>
      <c r="L188" s="42">
        <v>1.0</v>
      </c>
      <c r="M188" s="42">
        <v>17.1</v>
      </c>
      <c r="N188" s="42">
        <v>10.75</v>
      </c>
      <c r="O188" s="42">
        <v>0.0</v>
      </c>
      <c r="P188" s="42">
        <v>0.0127</v>
      </c>
      <c r="Q188" s="42">
        <v>0.0127</v>
      </c>
      <c r="R188" s="42">
        <v>0.2911</v>
      </c>
      <c r="S188" s="42">
        <v>0.4051</v>
      </c>
      <c r="T188" s="42" t="b">
        <v>1</v>
      </c>
      <c r="U188" s="42" t="b">
        <v>1</v>
      </c>
      <c r="V188" s="42"/>
      <c r="W188" s="42">
        <v>1.0</v>
      </c>
      <c r="X188" s="43" t="s">
        <v>43</v>
      </c>
      <c r="Y188" s="42"/>
      <c r="Z188" s="42"/>
    </row>
    <row r="189">
      <c r="A189" s="42" t="s">
        <v>1038</v>
      </c>
      <c r="B189" s="42" t="s">
        <v>44</v>
      </c>
      <c r="C189" s="42">
        <v>532873.0</v>
      </c>
      <c r="D189" s="42" t="s">
        <v>2431</v>
      </c>
      <c r="E189" s="42" t="s">
        <v>51</v>
      </c>
      <c r="F189" s="42">
        <v>16.15</v>
      </c>
      <c r="G189" s="42">
        <v>21.36</v>
      </c>
      <c r="H189" s="42">
        <v>5.21</v>
      </c>
      <c r="I189" s="42">
        <v>4.21</v>
      </c>
      <c r="J189" s="42">
        <v>177.0</v>
      </c>
      <c r="K189" s="42" t="s">
        <v>39</v>
      </c>
      <c r="L189" s="42">
        <v>0.0</v>
      </c>
      <c r="M189" s="42">
        <v>14.21</v>
      </c>
      <c r="N189" s="42">
        <v>16.15</v>
      </c>
      <c r="O189" s="42">
        <v>0.0593</v>
      </c>
      <c r="P189" s="42">
        <v>0.0386</v>
      </c>
      <c r="Q189" s="42">
        <v>0.0979</v>
      </c>
      <c r="R189" s="42">
        <v>0.2994</v>
      </c>
      <c r="S189" s="42">
        <v>0.339</v>
      </c>
      <c r="T189" s="42" t="b">
        <v>1</v>
      </c>
      <c r="U189" s="42" t="b">
        <v>1</v>
      </c>
      <c r="V189" s="42"/>
      <c r="W189" s="42">
        <v>1.0</v>
      </c>
      <c r="X189" s="43" t="s">
        <v>43</v>
      </c>
      <c r="Y189" s="42"/>
      <c r="Z189" s="42"/>
    </row>
    <row r="190">
      <c r="A190" s="42" t="s">
        <v>663</v>
      </c>
      <c r="B190" s="42" t="s">
        <v>40</v>
      </c>
      <c r="C190" s="42">
        <v>160248.0</v>
      </c>
      <c r="D190" s="42" t="s">
        <v>2432</v>
      </c>
      <c r="E190" s="42" t="s">
        <v>25</v>
      </c>
      <c r="F190" s="42">
        <v>24.32</v>
      </c>
      <c r="G190" s="42">
        <v>29.52</v>
      </c>
      <c r="H190" s="42">
        <v>5.2</v>
      </c>
      <c r="I190" s="42">
        <v>3.12</v>
      </c>
      <c r="J190" s="42">
        <v>678.0</v>
      </c>
      <c r="K190" s="42">
        <v>24.32</v>
      </c>
      <c r="L190" s="42">
        <v>0.7537</v>
      </c>
      <c r="M190" s="42">
        <v>18.91</v>
      </c>
      <c r="N190" s="42">
        <v>24.64</v>
      </c>
      <c r="O190" s="42">
        <v>0.0745</v>
      </c>
      <c r="P190" s="42">
        <v>0.0224</v>
      </c>
      <c r="Q190" s="42">
        <v>0.0969</v>
      </c>
      <c r="R190" s="42">
        <v>0.4853</v>
      </c>
      <c r="S190" s="42">
        <v>0.2625</v>
      </c>
      <c r="T190" s="42" t="b">
        <v>1</v>
      </c>
      <c r="U190" s="42" t="b">
        <v>1</v>
      </c>
      <c r="V190" s="42"/>
      <c r="W190" s="42">
        <v>1.0</v>
      </c>
      <c r="X190" s="43" t="s">
        <v>43</v>
      </c>
      <c r="Y190" s="42"/>
      <c r="Z190" s="42"/>
    </row>
    <row r="191">
      <c r="A191" s="42" t="s">
        <v>2052</v>
      </c>
      <c r="B191" s="42" t="s">
        <v>44</v>
      </c>
      <c r="C191" s="42">
        <v>479488.0</v>
      </c>
      <c r="D191" s="42" t="s">
        <v>2433</v>
      </c>
      <c r="E191" s="42" t="s">
        <v>51</v>
      </c>
      <c r="F191" s="42">
        <v>18.07</v>
      </c>
      <c r="G191" s="42">
        <v>23.26</v>
      </c>
      <c r="H191" s="42">
        <v>5.19</v>
      </c>
      <c r="I191" s="42">
        <v>2.12</v>
      </c>
      <c r="J191" s="42">
        <v>324.0</v>
      </c>
      <c r="K191" s="42">
        <v>25.48</v>
      </c>
      <c r="L191" s="42">
        <v>0.1019</v>
      </c>
      <c r="M191" s="42">
        <v>18.91</v>
      </c>
      <c r="N191" s="42">
        <v>18.07</v>
      </c>
      <c r="O191" s="42">
        <v>0.0062</v>
      </c>
      <c r="P191" s="42">
        <v>0.001</v>
      </c>
      <c r="Q191" s="42">
        <v>0.0072</v>
      </c>
      <c r="R191" s="42">
        <v>0.3333</v>
      </c>
      <c r="S191" s="42">
        <v>0.2099</v>
      </c>
      <c r="T191" s="42" t="b">
        <v>1</v>
      </c>
      <c r="U191" s="42" t="b">
        <v>1</v>
      </c>
      <c r="V191" s="42"/>
      <c r="W191" s="42">
        <v>1.0</v>
      </c>
      <c r="X191" s="43" t="s">
        <v>43</v>
      </c>
      <c r="Y191" s="42"/>
      <c r="Z191" s="42"/>
    </row>
    <row r="192">
      <c r="A192" s="42" t="s">
        <v>1600</v>
      </c>
      <c r="B192" s="42" t="s">
        <v>44</v>
      </c>
      <c r="C192" s="42">
        <v>264652.0</v>
      </c>
      <c r="D192" s="42" t="s">
        <v>2434</v>
      </c>
      <c r="E192" s="42" t="s">
        <v>51</v>
      </c>
      <c r="F192" s="42">
        <v>19.95</v>
      </c>
      <c r="G192" s="42">
        <v>25.13</v>
      </c>
      <c r="H192" s="42">
        <v>5.18</v>
      </c>
      <c r="I192" s="42">
        <v>1.56</v>
      </c>
      <c r="J192" s="42">
        <v>267.0</v>
      </c>
      <c r="K192" s="42" t="s">
        <v>39</v>
      </c>
      <c r="L192" s="42">
        <v>0.0</v>
      </c>
      <c r="M192" s="42">
        <v>18.91</v>
      </c>
      <c r="N192" s="42">
        <v>19.95</v>
      </c>
      <c r="O192" s="42">
        <v>0.0047</v>
      </c>
      <c r="P192" s="42">
        <v>0.01</v>
      </c>
      <c r="Q192" s="42">
        <v>0.0147</v>
      </c>
      <c r="R192" s="42">
        <v>0.4794</v>
      </c>
      <c r="S192" s="42">
        <v>0.1685</v>
      </c>
      <c r="T192" s="42" t="b">
        <v>1</v>
      </c>
      <c r="U192" s="42" t="b">
        <v>1</v>
      </c>
      <c r="V192" s="42"/>
      <c r="W192" s="42">
        <v>1.0</v>
      </c>
      <c r="X192" s="43" t="s">
        <v>43</v>
      </c>
      <c r="Y192" s="42"/>
      <c r="Z192" s="42"/>
    </row>
    <row r="193">
      <c r="A193" s="42" t="s">
        <v>1748</v>
      </c>
      <c r="B193" s="42" t="s">
        <v>88</v>
      </c>
      <c r="C193" s="42">
        <v>595349.0</v>
      </c>
      <c r="D193" s="42" t="s">
        <v>2435</v>
      </c>
      <c r="E193" s="42" t="s">
        <v>51</v>
      </c>
      <c r="F193" s="42">
        <v>6.21</v>
      </c>
      <c r="G193" s="42">
        <v>11.38</v>
      </c>
      <c r="H193" s="42">
        <v>5.17</v>
      </c>
      <c r="I193" s="42">
        <v>0.16</v>
      </c>
      <c r="J193" s="42">
        <v>29.0</v>
      </c>
      <c r="K193" s="42">
        <v>15.91</v>
      </c>
      <c r="L193" s="42">
        <v>0.7586</v>
      </c>
      <c r="M193" s="42">
        <v>9.1</v>
      </c>
      <c r="N193" s="42">
        <v>6.21</v>
      </c>
      <c r="O193" s="42">
        <v>0.0</v>
      </c>
      <c r="P193" s="42">
        <v>0.0115</v>
      </c>
      <c r="Q193" s="42">
        <v>0.0115</v>
      </c>
      <c r="R193" s="42">
        <v>0.4828</v>
      </c>
      <c r="S193" s="42">
        <v>0.0</v>
      </c>
      <c r="T193" s="42" t="b">
        <v>1</v>
      </c>
      <c r="U193" s="42" t="b">
        <v>1</v>
      </c>
      <c r="V193" s="42"/>
      <c r="W193" s="42">
        <v>1.0</v>
      </c>
      <c r="X193" s="43" t="s">
        <v>43</v>
      </c>
      <c r="Y193" s="42"/>
      <c r="Z193" s="42"/>
    </row>
    <row r="194">
      <c r="A194" s="42" t="s">
        <v>86</v>
      </c>
      <c r="B194" s="42" t="s">
        <v>44</v>
      </c>
      <c r="C194" s="42">
        <v>592110.0</v>
      </c>
      <c r="D194" s="42" t="s">
        <v>2326</v>
      </c>
      <c r="E194" s="42" t="s">
        <v>51</v>
      </c>
      <c r="F194" s="42">
        <v>11.72</v>
      </c>
      <c r="G194" s="42">
        <v>16.87</v>
      </c>
      <c r="H194" s="42">
        <v>5.15</v>
      </c>
      <c r="I194" s="42">
        <v>1.49</v>
      </c>
      <c r="J194" s="42">
        <v>220.0</v>
      </c>
      <c r="K194" s="42" t="s">
        <v>39</v>
      </c>
      <c r="L194" s="42">
        <v>0.0</v>
      </c>
      <c r="M194" s="42">
        <v>12.79</v>
      </c>
      <c r="N194" s="42">
        <v>11.72</v>
      </c>
      <c r="O194" s="42">
        <v>0.0102</v>
      </c>
      <c r="P194" s="42">
        <v>0.0061</v>
      </c>
      <c r="Q194" s="42">
        <v>0.0163</v>
      </c>
      <c r="R194" s="42">
        <v>0.35</v>
      </c>
      <c r="S194" s="42">
        <v>0.1318</v>
      </c>
      <c r="T194" s="42" t="b">
        <v>1</v>
      </c>
      <c r="U194" s="42" t="b">
        <v>1</v>
      </c>
      <c r="V194" s="42"/>
      <c r="W194" s="42">
        <v>1.0</v>
      </c>
      <c r="X194" s="43" t="s">
        <v>43</v>
      </c>
      <c r="Y194" s="42"/>
      <c r="Z194" s="42"/>
    </row>
    <row r="195">
      <c r="A195" s="42" t="s">
        <v>1600</v>
      </c>
      <c r="B195" s="42" t="s">
        <v>88</v>
      </c>
      <c r="C195" s="42">
        <v>575807.0</v>
      </c>
      <c r="D195" s="42" t="s">
        <v>2436</v>
      </c>
      <c r="E195" s="42" t="s">
        <v>51</v>
      </c>
      <c r="F195" s="42">
        <v>16.58</v>
      </c>
      <c r="G195" s="42">
        <v>21.73</v>
      </c>
      <c r="H195" s="42">
        <v>5.15</v>
      </c>
      <c r="I195" s="42">
        <v>3.32</v>
      </c>
      <c r="J195" s="42">
        <v>105.0</v>
      </c>
      <c r="K195" s="42" t="s">
        <v>39</v>
      </c>
      <c r="L195" s="42">
        <v>0.0</v>
      </c>
      <c r="M195" s="42">
        <v>18.91</v>
      </c>
      <c r="N195" s="42">
        <v>16.58</v>
      </c>
      <c r="O195" s="42">
        <v>0.0</v>
      </c>
      <c r="P195" s="42">
        <v>0.0</v>
      </c>
      <c r="Q195" s="42">
        <v>0.0</v>
      </c>
      <c r="R195" s="42">
        <v>0.3048</v>
      </c>
      <c r="S195" s="42">
        <v>0.4</v>
      </c>
      <c r="T195" s="42" t="b">
        <v>1</v>
      </c>
      <c r="U195" s="42" t="b">
        <v>1</v>
      </c>
      <c r="V195" s="42"/>
      <c r="W195" s="42">
        <v>1.0</v>
      </c>
      <c r="X195" s="43" t="s">
        <v>43</v>
      </c>
      <c r="Y195" s="42"/>
      <c r="Z195" s="42"/>
    </row>
    <row r="196">
      <c r="A196" s="42" t="s">
        <v>561</v>
      </c>
      <c r="B196" s="42" t="s">
        <v>47</v>
      </c>
      <c r="C196" s="42">
        <v>115870.0</v>
      </c>
      <c r="D196" s="42" t="s">
        <v>2437</v>
      </c>
      <c r="E196" s="42" t="s">
        <v>51</v>
      </c>
      <c r="F196" s="42">
        <v>10.42</v>
      </c>
      <c r="G196" s="42">
        <v>15.56</v>
      </c>
      <c r="H196" s="42">
        <v>5.14</v>
      </c>
      <c r="I196" s="42">
        <v>5.83</v>
      </c>
      <c r="J196" s="42">
        <v>36.0</v>
      </c>
      <c r="K196" s="42">
        <v>23.71</v>
      </c>
      <c r="L196" s="42">
        <v>0.0833</v>
      </c>
      <c r="M196" s="42">
        <v>10.49</v>
      </c>
      <c r="N196" s="42">
        <v>10.42</v>
      </c>
      <c r="O196" s="42">
        <v>0.0417</v>
      </c>
      <c r="P196" s="42">
        <v>0.0185</v>
      </c>
      <c r="Q196" s="42">
        <v>0.0602</v>
      </c>
      <c r="R196" s="42">
        <v>0.0</v>
      </c>
      <c r="S196" s="42">
        <v>0.5556</v>
      </c>
      <c r="T196" s="42" t="b">
        <v>1</v>
      </c>
      <c r="U196" s="42" t="b">
        <v>1</v>
      </c>
      <c r="V196" s="42"/>
      <c r="W196" s="42">
        <v>1.0</v>
      </c>
      <c r="X196" s="43" t="s">
        <v>43</v>
      </c>
      <c r="Y196" s="42"/>
      <c r="Z196" s="42"/>
    </row>
    <row r="197">
      <c r="A197" s="42" t="s">
        <v>128</v>
      </c>
      <c r="B197" s="42" t="s">
        <v>44</v>
      </c>
      <c r="C197" s="42">
        <v>468774.0</v>
      </c>
      <c r="D197" s="42" t="s">
        <v>2438</v>
      </c>
      <c r="E197" s="42" t="s">
        <v>51</v>
      </c>
      <c r="F197" s="42">
        <v>18.33</v>
      </c>
      <c r="G197" s="42">
        <v>23.43</v>
      </c>
      <c r="H197" s="42">
        <v>5.1</v>
      </c>
      <c r="I197" s="42">
        <v>3.66</v>
      </c>
      <c r="J197" s="42">
        <v>221.0</v>
      </c>
      <c r="K197" s="42">
        <v>29.62</v>
      </c>
      <c r="L197" s="42">
        <v>0.0588</v>
      </c>
      <c r="M197" s="42">
        <v>11.74</v>
      </c>
      <c r="N197" s="42">
        <v>18.33</v>
      </c>
      <c r="O197" s="42">
        <v>0.0385</v>
      </c>
      <c r="P197" s="42">
        <v>0.0189</v>
      </c>
      <c r="Q197" s="42">
        <v>0.0574</v>
      </c>
      <c r="R197" s="42">
        <v>0.2624</v>
      </c>
      <c r="S197" s="42">
        <v>0.2715</v>
      </c>
      <c r="T197" s="42" t="b">
        <v>1</v>
      </c>
      <c r="U197" s="42" t="b">
        <v>1</v>
      </c>
      <c r="V197" s="42"/>
      <c r="W197" s="42">
        <v>1.0</v>
      </c>
      <c r="X197" s="43" t="s">
        <v>43</v>
      </c>
      <c r="Y197" s="42"/>
      <c r="Z197" s="42"/>
    </row>
    <row r="198">
      <c r="A198" s="42" t="s">
        <v>663</v>
      </c>
      <c r="B198" s="42" t="s">
        <v>40</v>
      </c>
      <c r="C198" s="42">
        <v>309089.0</v>
      </c>
      <c r="D198" s="42" t="s">
        <v>2439</v>
      </c>
      <c r="E198" s="42" t="s">
        <v>51</v>
      </c>
      <c r="F198" s="42">
        <v>24.64</v>
      </c>
      <c r="G198" s="42">
        <v>29.74</v>
      </c>
      <c r="H198" s="42">
        <v>5.1</v>
      </c>
      <c r="I198" s="42">
        <v>3.0</v>
      </c>
      <c r="J198" s="42">
        <v>996.0</v>
      </c>
      <c r="K198" s="42">
        <v>27.17</v>
      </c>
      <c r="L198" s="42">
        <v>0.3745</v>
      </c>
      <c r="M198" s="42">
        <v>18.91</v>
      </c>
      <c r="N198" s="42">
        <v>24.64</v>
      </c>
      <c r="O198" s="42">
        <v>0.0602</v>
      </c>
      <c r="P198" s="42">
        <v>0.0141</v>
      </c>
      <c r="Q198" s="42">
        <v>0.0743</v>
      </c>
      <c r="R198" s="42">
        <v>0.3273</v>
      </c>
      <c r="S198" s="42">
        <v>0.3223</v>
      </c>
      <c r="T198" s="42" t="b">
        <v>1</v>
      </c>
      <c r="U198" s="42" t="b">
        <v>1</v>
      </c>
      <c r="V198" s="42"/>
      <c r="W198" s="42">
        <v>1.0</v>
      </c>
      <c r="X198" s="43" t="s">
        <v>43</v>
      </c>
      <c r="Y198" s="42"/>
      <c r="Z198" s="42"/>
    </row>
    <row r="199">
      <c r="A199" s="42" t="s">
        <v>86</v>
      </c>
      <c r="B199" s="42" t="s">
        <v>40</v>
      </c>
      <c r="C199" s="42">
        <v>626942.0</v>
      </c>
      <c r="D199" s="42" t="s">
        <v>2335</v>
      </c>
      <c r="E199" s="42" t="s">
        <v>51</v>
      </c>
      <c r="F199" s="42">
        <v>11.25</v>
      </c>
      <c r="G199" s="42">
        <v>16.32</v>
      </c>
      <c r="H199" s="42">
        <v>5.07</v>
      </c>
      <c r="I199" s="42">
        <v>3.53</v>
      </c>
      <c r="J199" s="42">
        <v>620.0</v>
      </c>
      <c r="K199" s="42" t="s">
        <v>39</v>
      </c>
      <c r="L199" s="42">
        <v>0.0</v>
      </c>
      <c r="M199" s="42">
        <v>12.79</v>
      </c>
      <c r="N199" s="42">
        <v>11.25</v>
      </c>
      <c r="O199" s="42">
        <v>0.0097</v>
      </c>
      <c r="P199" s="42">
        <v>0.0266</v>
      </c>
      <c r="Q199" s="42">
        <v>0.0363</v>
      </c>
      <c r="R199" s="42">
        <v>0.3468</v>
      </c>
      <c r="S199" s="42">
        <v>0.35</v>
      </c>
      <c r="T199" s="42" t="b">
        <v>1</v>
      </c>
      <c r="U199" s="42" t="b">
        <v>1</v>
      </c>
      <c r="V199" s="42"/>
      <c r="W199" s="42">
        <v>1.0</v>
      </c>
      <c r="X199" s="43" t="s">
        <v>43</v>
      </c>
      <c r="Y199" s="42"/>
      <c r="Z199" s="42"/>
    </row>
    <row r="200">
      <c r="A200" s="42" t="s">
        <v>1600</v>
      </c>
      <c r="B200" s="42" t="s">
        <v>47</v>
      </c>
      <c r="C200" s="42">
        <v>319597.0</v>
      </c>
      <c r="D200" s="42" t="s">
        <v>2440</v>
      </c>
      <c r="E200" s="42" t="s">
        <v>51</v>
      </c>
      <c r="F200" s="42">
        <v>14.41</v>
      </c>
      <c r="G200" s="42">
        <v>19.48</v>
      </c>
      <c r="H200" s="42">
        <v>5.07</v>
      </c>
      <c r="I200" s="42">
        <v>1.7</v>
      </c>
      <c r="J200" s="42">
        <v>44.0</v>
      </c>
      <c r="K200" s="42" t="s">
        <v>39</v>
      </c>
      <c r="L200" s="42">
        <v>0.0</v>
      </c>
      <c r="M200" s="42">
        <v>18.91</v>
      </c>
      <c r="N200" s="42">
        <v>14.41</v>
      </c>
      <c r="O200" s="42">
        <v>0.0</v>
      </c>
      <c r="P200" s="42">
        <v>0.0</v>
      </c>
      <c r="Q200" s="42">
        <v>0.0</v>
      </c>
      <c r="R200" s="42">
        <v>0.1364</v>
      </c>
      <c r="S200" s="42">
        <v>0.1364</v>
      </c>
      <c r="T200" s="42" t="b">
        <v>1</v>
      </c>
      <c r="U200" s="42" t="b">
        <v>1</v>
      </c>
      <c r="V200" s="42"/>
      <c r="W200" s="42">
        <v>1.0</v>
      </c>
      <c r="X200" s="43" t="s">
        <v>43</v>
      </c>
      <c r="Y200" s="42"/>
      <c r="Z200" s="42"/>
    </row>
    <row r="201">
      <c r="A201" s="42" t="s">
        <v>719</v>
      </c>
      <c r="B201" s="42" t="s">
        <v>47</v>
      </c>
      <c r="C201" s="42">
        <v>139902.0</v>
      </c>
      <c r="D201" s="42" t="s">
        <v>2441</v>
      </c>
      <c r="E201" s="42" t="s">
        <v>51</v>
      </c>
      <c r="F201" s="42">
        <v>8.18</v>
      </c>
      <c r="G201" s="42">
        <v>13.23</v>
      </c>
      <c r="H201" s="42">
        <v>5.05</v>
      </c>
      <c r="I201" s="42">
        <v>3.89</v>
      </c>
      <c r="J201" s="42">
        <v>53.0</v>
      </c>
      <c r="K201" s="42">
        <v>35.63</v>
      </c>
      <c r="L201" s="42">
        <v>0.0943</v>
      </c>
      <c r="M201" s="42">
        <v>10.49</v>
      </c>
      <c r="N201" s="42">
        <v>8.18</v>
      </c>
      <c r="O201" s="42">
        <v>0.0047</v>
      </c>
      <c r="P201" s="42">
        <v>0.0</v>
      </c>
      <c r="Q201" s="42">
        <v>0.0047</v>
      </c>
      <c r="R201" s="42">
        <v>0.1509</v>
      </c>
      <c r="S201" s="42">
        <v>0.283</v>
      </c>
      <c r="T201" s="42" t="b">
        <v>1</v>
      </c>
      <c r="U201" s="42" t="b">
        <v>1</v>
      </c>
      <c r="V201" s="42"/>
      <c r="W201" s="42">
        <v>1.0</v>
      </c>
      <c r="X201" s="43" t="s">
        <v>43</v>
      </c>
      <c r="Y201" s="42"/>
      <c r="Z201" s="42"/>
    </row>
    <row r="202">
      <c r="A202" s="42" t="s">
        <v>1830</v>
      </c>
      <c r="B202" s="42" t="s">
        <v>88</v>
      </c>
      <c r="C202" s="42">
        <v>89446.0</v>
      </c>
      <c r="D202" s="42" t="s">
        <v>1830</v>
      </c>
      <c r="E202" s="42" t="s">
        <v>51</v>
      </c>
      <c r="F202" s="42">
        <v>11.51</v>
      </c>
      <c r="G202" s="42">
        <v>16.53</v>
      </c>
      <c r="H202" s="42">
        <v>5.02</v>
      </c>
      <c r="I202" s="42">
        <v>4.24</v>
      </c>
      <c r="J202" s="42">
        <v>149.0</v>
      </c>
      <c r="K202" s="42">
        <v>17.44</v>
      </c>
      <c r="L202" s="42">
        <v>0.4564</v>
      </c>
      <c r="M202" s="42">
        <v>11.74</v>
      </c>
      <c r="N202" s="42">
        <v>11.51</v>
      </c>
      <c r="O202" s="42">
        <v>0.0</v>
      </c>
      <c r="P202" s="42">
        <v>0.0067</v>
      </c>
      <c r="Q202" s="42">
        <v>0.0067</v>
      </c>
      <c r="R202" s="42">
        <v>0.1208</v>
      </c>
      <c r="S202" s="42">
        <v>0.5034</v>
      </c>
      <c r="T202" s="42" t="b">
        <v>1</v>
      </c>
      <c r="U202" s="42" t="b">
        <v>1</v>
      </c>
      <c r="V202" s="42"/>
      <c r="W202" s="42">
        <v>1.0</v>
      </c>
      <c r="X202" s="43" t="s">
        <v>43</v>
      </c>
      <c r="Y202" s="42"/>
      <c r="Z202" s="42"/>
    </row>
    <row r="203">
      <c r="A203" s="42" t="s">
        <v>1038</v>
      </c>
      <c r="B203" s="42" t="s">
        <v>88</v>
      </c>
      <c r="C203" s="42">
        <v>496684.0</v>
      </c>
      <c r="D203" s="42" t="s">
        <v>2442</v>
      </c>
      <c r="E203" s="42" t="s">
        <v>51</v>
      </c>
      <c r="F203" s="42">
        <v>15.12</v>
      </c>
      <c r="G203" s="42">
        <v>20.14</v>
      </c>
      <c r="H203" s="42">
        <v>5.02</v>
      </c>
      <c r="I203" s="42">
        <v>3.99</v>
      </c>
      <c r="J203" s="42">
        <v>108.0</v>
      </c>
      <c r="K203" s="42" t="s">
        <v>39</v>
      </c>
      <c r="L203" s="42">
        <v>0.0</v>
      </c>
      <c r="M203" s="42">
        <v>14.21</v>
      </c>
      <c r="N203" s="42">
        <v>15.12</v>
      </c>
      <c r="O203" s="42">
        <v>0.0046</v>
      </c>
      <c r="P203" s="42">
        <v>0.037</v>
      </c>
      <c r="Q203" s="42">
        <v>0.0416</v>
      </c>
      <c r="R203" s="42">
        <v>0.3056</v>
      </c>
      <c r="S203" s="42">
        <v>0.3056</v>
      </c>
      <c r="T203" s="42" t="b">
        <v>1</v>
      </c>
      <c r="U203" s="42" t="b">
        <v>1</v>
      </c>
      <c r="V203" s="42"/>
      <c r="W203" s="42">
        <v>1.0</v>
      </c>
      <c r="X203" s="43" t="s">
        <v>43</v>
      </c>
      <c r="Y203" s="42"/>
      <c r="Z203" s="42"/>
    </row>
    <row r="204">
      <c r="A204" s="42" t="s">
        <v>39</v>
      </c>
      <c r="B204" s="42" t="s">
        <v>88</v>
      </c>
      <c r="C204" s="42">
        <v>277456.0</v>
      </c>
      <c r="D204" s="42" t="s">
        <v>2443</v>
      </c>
      <c r="E204" s="42" t="s">
        <v>965</v>
      </c>
      <c r="F204" s="42">
        <v>9.89</v>
      </c>
      <c r="G204" s="42">
        <v>14.9</v>
      </c>
      <c r="H204" s="42">
        <v>5.01</v>
      </c>
      <c r="I204" s="42">
        <v>1.61</v>
      </c>
      <c r="J204" s="42">
        <v>144.0</v>
      </c>
      <c r="K204" s="42">
        <v>12.66</v>
      </c>
      <c r="L204" s="42">
        <v>1.0</v>
      </c>
      <c r="M204" s="42">
        <v>11.74</v>
      </c>
      <c r="N204" s="42">
        <v>14.9</v>
      </c>
      <c r="O204" s="42">
        <v>0.0</v>
      </c>
      <c r="P204" s="42">
        <v>0.0</v>
      </c>
      <c r="Q204" s="42">
        <v>0.0</v>
      </c>
      <c r="R204" s="42">
        <v>0.5278</v>
      </c>
      <c r="S204" s="42">
        <v>0.1528</v>
      </c>
      <c r="T204" s="42" t="b">
        <v>1</v>
      </c>
      <c r="U204" s="42" t="b">
        <v>1</v>
      </c>
      <c r="V204" s="42"/>
      <c r="W204" s="42">
        <v>1.0</v>
      </c>
      <c r="X204" s="43" t="s">
        <v>43</v>
      </c>
      <c r="Y204" s="42"/>
      <c r="Z204" s="42"/>
    </row>
    <row r="205">
      <c r="A205" s="42" t="s">
        <v>1038</v>
      </c>
      <c r="B205" s="42" t="s">
        <v>44</v>
      </c>
      <c r="C205" s="42">
        <v>592246.0</v>
      </c>
      <c r="D205" s="42" t="s">
        <v>2444</v>
      </c>
      <c r="E205" s="42" t="s">
        <v>51</v>
      </c>
      <c r="F205" s="42">
        <v>16.15</v>
      </c>
      <c r="G205" s="42">
        <v>21.16</v>
      </c>
      <c r="H205" s="42">
        <v>5.01</v>
      </c>
      <c r="I205" s="42">
        <v>2.19</v>
      </c>
      <c r="J205" s="42">
        <v>170.0</v>
      </c>
      <c r="K205" s="42" t="s">
        <v>39</v>
      </c>
      <c r="L205" s="42">
        <v>0.0</v>
      </c>
      <c r="M205" s="42">
        <v>14.21</v>
      </c>
      <c r="N205" s="42">
        <v>16.15</v>
      </c>
      <c r="O205" s="42">
        <v>0.0382</v>
      </c>
      <c r="P205" s="42">
        <v>0.0196</v>
      </c>
      <c r="Q205" s="42">
        <v>0.0578</v>
      </c>
      <c r="R205" s="42">
        <v>0.2765</v>
      </c>
      <c r="S205" s="42">
        <v>0.2</v>
      </c>
      <c r="T205" s="42" t="b">
        <v>1</v>
      </c>
      <c r="U205" s="42" t="b">
        <v>1</v>
      </c>
      <c r="V205" s="42"/>
      <c r="W205" s="42">
        <v>1.0</v>
      </c>
      <c r="X205" s="43" t="s">
        <v>43</v>
      </c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31.25"/>
    <col customWidth="1" min="3" max="3" width="14.38"/>
    <col customWidth="1" min="4" max="4" width="7.25"/>
    <col customWidth="1" min="5" max="5" width="7.5"/>
    <col hidden="1" min="7" max="8" width="12.63"/>
    <col customWidth="1" min="10" max="10" width="15.5"/>
    <col customWidth="1" min="11" max="11" width="18.75"/>
    <col customWidth="1" min="13" max="13" width="28.75"/>
  </cols>
  <sheetData>
    <row r="1">
      <c r="A1" s="11" t="s">
        <v>11</v>
      </c>
      <c r="B1" s="12" t="s">
        <v>13</v>
      </c>
      <c r="C1" s="12" t="s">
        <v>55</v>
      </c>
      <c r="D1" s="14" t="s">
        <v>56</v>
      </c>
      <c r="E1" s="12" t="s">
        <v>60</v>
      </c>
      <c r="F1" s="12" t="s">
        <v>62</v>
      </c>
      <c r="G1" s="15"/>
      <c r="H1" s="15"/>
      <c r="I1" s="16"/>
      <c r="J1" s="5" t="s">
        <v>67</v>
      </c>
      <c r="K1" s="16"/>
      <c r="L1" s="16"/>
      <c r="M1" s="5"/>
      <c r="N1" s="16"/>
      <c r="O1" s="16"/>
      <c r="P1" s="16"/>
      <c r="Q1" s="16"/>
      <c r="R1" s="16"/>
      <c r="S1" s="16"/>
      <c r="T1" s="16"/>
    </row>
    <row r="2">
      <c r="A2" s="18" t="s">
        <v>73</v>
      </c>
      <c r="B2" s="19" t="s">
        <v>74</v>
      </c>
      <c r="C2" s="21">
        <v>439.0</v>
      </c>
      <c r="D2" s="22">
        <v>5.75</v>
      </c>
      <c r="E2" s="23">
        <v>20.5681</v>
      </c>
      <c r="F2" s="26">
        <f t="shared" ref="F2:F138" si="1">E2-D2</f>
        <v>14.8181</v>
      </c>
      <c r="G2" s="27">
        <f t="shared" ref="G2:G139" si="2">D2*C2</f>
        <v>2524.25</v>
      </c>
      <c r="H2" s="27">
        <f t="shared" ref="H2:H139" si="3">E2*C2</f>
        <v>9029.3959</v>
      </c>
      <c r="J2" s="30" t="s">
        <v>82</v>
      </c>
      <c r="K2" s="32" t="s">
        <v>85</v>
      </c>
      <c r="M2" s="28" t="s">
        <v>93</v>
      </c>
      <c r="N2" s="28" t="s">
        <v>95</v>
      </c>
    </row>
    <row r="3">
      <c r="A3" s="18" t="s">
        <v>97</v>
      </c>
      <c r="B3" s="19" t="s">
        <v>99</v>
      </c>
      <c r="C3" s="21">
        <v>859.0</v>
      </c>
      <c r="D3" s="22">
        <v>12.48</v>
      </c>
      <c r="E3" s="23">
        <v>27.0766</v>
      </c>
      <c r="F3" s="26">
        <f t="shared" si="1"/>
        <v>14.5966</v>
      </c>
      <c r="G3" s="27">
        <f t="shared" si="2"/>
        <v>10720.32</v>
      </c>
      <c r="H3" s="27">
        <f t="shared" si="3"/>
        <v>23258.7994</v>
      </c>
      <c r="J3" s="33">
        <f>G140/C140</f>
        <v>13.098714</v>
      </c>
      <c r="K3" s="33">
        <f>H140/C140</f>
        <v>14.65259117</v>
      </c>
      <c r="M3" s="28" t="s">
        <v>132</v>
      </c>
      <c r="N3" s="28" t="s">
        <v>133</v>
      </c>
    </row>
    <row r="4">
      <c r="A4" s="18" t="s">
        <v>136</v>
      </c>
      <c r="B4" s="19" t="s">
        <v>137</v>
      </c>
      <c r="C4" s="21">
        <v>638.0</v>
      </c>
      <c r="D4" s="22">
        <v>7.35</v>
      </c>
      <c r="E4" s="23">
        <v>20.7323</v>
      </c>
      <c r="F4" s="26">
        <f t="shared" si="1"/>
        <v>13.3823</v>
      </c>
      <c r="G4" s="27">
        <f t="shared" si="2"/>
        <v>4689.3</v>
      </c>
      <c r="H4" s="27">
        <f t="shared" si="3"/>
        <v>13227.2074</v>
      </c>
      <c r="M4" s="28" t="s">
        <v>148</v>
      </c>
      <c r="N4" s="28" t="s">
        <v>133</v>
      </c>
    </row>
    <row r="5">
      <c r="A5" s="18" t="s">
        <v>153</v>
      </c>
      <c r="B5" s="19" t="s">
        <v>155</v>
      </c>
      <c r="C5" s="21">
        <v>407.0</v>
      </c>
      <c r="D5" s="22">
        <v>3.52</v>
      </c>
      <c r="E5" s="23">
        <v>16.4025</v>
      </c>
      <c r="F5" s="26">
        <f t="shared" si="1"/>
        <v>12.8825</v>
      </c>
      <c r="G5" s="27">
        <f t="shared" si="2"/>
        <v>1432.64</v>
      </c>
      <c r="H5" s="27">
        <f t="shared" si="3"/>
        <v>6675.8175</v>
      </c>
      <c r="J5" s="28" t="s">
        <v>169</v>
      </c>
    </row>
    <row r="6">
      <c r="A6" s="18" t="s">
        <v>172</v>
      </c>
      <c r="B6" s="19" t="s">
        <v>175</v>
      </c>
      <c r="C6" s="21">
        <v>386.0</v>
      </c>
      <c r="D6" s="22">
        <v>9.8</v>
      </c>
      <c r="E6" s="23">
        <v>21.8175</v>
      </c>
      <c r="F6" s="26">
        <f t="shared" si="1"/>
        <v>12.0175</v>
      </c>
      <c r="G6" s="27">
        <f t="shared" si="2"/>
        <v>3782.8</v>
      </c>
      <c r="H6" s="27">
        <f t="shared" si="3"/>
        <v>8421.555</v>
      </c>
      <c r="J6" s="28" t="s">
        <v>189</v>
      </c>
    </row>
    <row r="7">
      <c r="A7" s="18" t="s">
        <v>194</v>
      </c>
      <c r="B7" s="19" t="s">
        <v>196</v>
      </c>
      <c r="C7" s="21">
        <v>679.0</v>
      </c>
      <c r="D7" s="22">
        <v>3.48</v>
      </c>
      <c r="E7" s="23">
        <v>15.3644</v>
      </c>
      <c r="F7" s="26">
        <f t="shared" si="1"/>
        <v>11.8844</v>
      </c>
      <c r="G7" s="27">
        <f t="shared" si="2"/>
        <v>2362.92</v>
      </c>
      <c r="H7" s="27">
        <f t="shared" si="3"/>
        <v>10432.4276</v>
      </c>
      <c r="J7" s="34">
        <f>K3-J3</f>
        <v>1.553877171</v>
      </c>
      <c r="K7" s="35" t="s">
        <v>228</v>
      </c>
    </row>
    <row r="8">
      <c r="A8" s="18" t="s">
        <v>233</v>
      </c>
      <c r="B8" s="19" t="s">
        <v>236</v>
      </c>
      <c r="C8" s="21">
        <v>78.0</v>
      </c>
      <c r="D8" s="22">
        <v>7.53</v>
      </c>
      <c r="E8" s="23">
        <v>18.6308</v>
      </c>
      <c r="F8" s="26">
        <f t="shared" si="1"/>
        <v>11.1008</v>
      </c>
      <c r="G8" s="27">
        <f t="shared" si="2"/>
        <v>587.34</v>
      </c>
      <c r="H8" s="27">
        <f t="shared" si="3"/>
        <v>1453.2024</v>
      </c>
    </row>
    <row r="9">
      <c r="A9" s="18" t="s">
        <v>262</v>
      </c>
      <c r="B9" s="19" t="s">
        <v>266</v>
      </c>
      <c r="C9" s="21">
        <v>347.0</v>
      </c>
      <c r="D9" s="22">
        <v>8.37</v>
      </c>
      <c r="E9" s="23">
        <v>19.2484</v>
      </c>
      <c r="F9" s="26">
        <f t="shared" si="1"/>
        <v>10.8784</v>
      </c>
      <c r="G9" s="27">
        <f t="shared" si="2"/>
        <v>2904.39</v>
      </c>
      <c r="H9" s="27">
        <f t="shared" si="3"/>
        <v>6679.1948</v>
      </c>
    </row>
    <row r="10">
      <c r="A10" s="18" t="s">
        <v>283</v>
      </c>
      <c r="B10" s="19" t="s">
        <v>285</v>
      </c>
      <c r="C10" s="21">
        <v>342.0</v>
      </c>
      <c r="D10" s="22">
        <v>5.07</v>
      </c>
      <c r="E10" s="23">
        <v>15.3385</v>
      </c>
      <c r="F10" s="26">
        <f t="shared" si="1"/>
        <v>10.2685</v>
      </c>
      <c r="G10" s="27">
        <f t="shared" si="2"/>
        <v>1733.94</v>
      </c>
      <c r="H10" s="27">
        <f t="shared" si="3"/>
        <v>5245.767</v>
      </c>
    </row>
    <row r="11">
      <c r="A11" s="18" t="s">
        <v>304</v>
      </c>
      <c r="B11" s="19" t="s">
        <v>307</v>
      </c>
      <c r="C11" s="21">
        <v>773.0</v>
      </c>
      <c r="D11" s="22">
        <v>10.77</v>
      </c>
      <c r="E11" s="23">
        <v>21.0098</v>
      </c>
      <c r="F11" s="26">
        <f t="shared" si="1"/>
        <v>10.2398</v>
      </c>
      <c r="G11" s="27">
        <f t="shared" si="2"/>
        <v>8325.21</v>
      </c>
      <c r="H11" s="27">
        <f t="shared" si="3"/>
        <v>16240.5754</v>
      </c>
    </row>
    <row r="12">
      <c r="A12" s="18" t="s">
        <v>323</v>
      </c>
      <c r="B12" s="19" t="s">
        <v>325</v>
      </c>
      <c r="C12" s="21">
        <v>231.0</v>
      </c>
      <c r="D12" s="22">
        <v>6.73</v>
      </c>
      <c r="E12" s="23">
        <v>16.9031</v>
      </c>
      <c r="F12" s="26">
        <f t="shared" si="1"/>
        <v>10.1731</v>
      </c>
      <c r="G12" s="27">
        <f t="shared" si="2"/>
        <v>1554.63</v>
      </c>
      <c r="H12" s="27">
        <f t="shared" si="3"/>
        <v>3904.6161</v>
      </c>
    </row>
    <row r="13">
      <c r="A13" s="18" t="s">
        <v>348</v>
      </c>
      <c r="B13" s="19" t="s">
        <v>351</v>
      </c>
      <c r="C13" s="21">
        <v>308.0</v>
      </c>
      <c r="D13" s="22">
        <v>4.38</v>
      </c>
      <c r="E13" s="23">
        <v>14.4721</v>
      </c>
      <c r="F13" s="26">
        <f t="shared" si="1"/>
        <v>10.0921</v>
      </c>
      <c r="G13" s="27">
        <f t="shared" si="2"/>
        <v>1349.04</v>
      </c>
      <c r="H13" s="27">
        <f t="shared" si="3"/>
        <v>4457.4068</v>
      </c>
    </row>
    <row r="14">
      <c r="A14" s="18" t="s">
        <v>369</v>
      </c>
      <c r="B14" s="19" t="s">
        <v>146</v>
      </c>
      <c r="C14" s="21">
        <v>194.0</v>
      </c>
      <c r="D14" s="22">
        <v>9.28</v>
      </c>
      <c r="E14" s="23">
        <v>19.3438</v>
      </c>
      <c r="F14" s="26">
        <f t="shared" si="1"/>
        <v>10.0638</v>
      </c>
      <c r="G14" s="27">
        <f t="shared" si="2"/>
        <v>1800.32</v>
      </c>
      <c r="H14" s="27">
        <f t="shared" si="3"/>
        <v>3752.6972</v>
      </c>
    </row>
    <row r="15">
      <c r="A15" s="18" t="s">
        <v>384</v>
      </c>
      <c r="B15" s="19" t="s">
        <v>386</v>
      </c>
      <c r="C15" s="21">
        <v>254.0</v>
      </c>
      <c r="D15" s="22">
        <v>12.63</v>
      </c>
      <c r="E15" s="23">
        <v>22.5549</v>
      </c>
      <c r="F15" s="26">
        <f t="shared" si="1"/>
        <v>9.9249</v>
      </c>
      <c r="G15" s="27">
        <f t="shared" si="2"/>
        <v>3208.02</v>
      </c>
      <c r="H15" s="27">
        <f t="shared" si="3"/>
        <v>5728.9446</v>
      </c>
    </row>
    <row r="16">
      <c r="A16" s="18" t="s">
        <v>404</v>
      </c>
      <c r="B16" s="19" t="s">
        <v>407</v>
      </c>
      <c r="C16" s="21">
        <v>488.0</v>
      </c>
      <c r="D16" s="22">
        <v>1.97</v>
      </c>
      <c r="E16" s="23">
        <v>11.6353</v>
      </c>
      <c r="F16" s="26">
        <f t="shared" si="1"/>
        <v>9.6653</v>
      </c>
      <c r="G16" s="27">
        <f t="shared" si="2"/>
        <v>961.36</v>
      </c>
      <c r="H16" s="27">
        <f t="shared" si="3"/>
        <v>5678.0264</v>
      </c>
    </row>
    <row r="17">
      <c r="A17" s="18" t="s">
        <v>428</v>
      </c>
      <c r="B17" s="19" t="s">
        <v>430</v>
      </c>
      <c r="C17" s="21">
        <v>486.0</v>
      </c>
      <c r="D17" s="22">
        <v>6.38</v>
      </c>
      <c r="E17" s="23">
        <v>15.9254</v>
      </c>
      <c r="F17" s="26">
        <f t="shared" si="1"/>
        <v>9.5454</v>
      </c>
      <c r="G17" s="27">
        <f t="shared" si="2"/>
        <v>3100.68</v>
      </c>
      <c r="H17" s="27">
        <f t="shared" si="3"/>
        <v>7739.7444</v>
      </c>
    </row>
    <row r="18">
      <c r="A18" s="18" t="s">
        <v>447</v>
      </c>
      <c r="B18" s="19" t="s">
        <v>450</v>
      </c>
      <c r="C18" s="21">
        <v>506.0</v>
      </c>
      <c r="D18" s="22">
        <v>6.47</v>
      </c>
      <c r="E18" s="23">
        <v>15.3793</v>
      </c>
      <c r="F18" s="26">
        <f t="shared" si="1"/>
        <v>8.9093</v>
      </c>
      <c r="G18" s="27">
        <f t="shared" si="2"/>
        <v>3273.82</v>
      </c>
      <c r="H18" s="27">
        <f t="shared" si="3"/>
        <v>7781.9258</v>
      </c>
    </row>
    <row r="19">
      <c r="A19" s="18" t="s">
        <v>465</v>
      </c>
      <c r="B19" s="19" t="s">
        <v>467</v>
      </c>
      <c r="C19" s="21">
        <v>704.0</v>
      </c>
      <c r="D19" s="22">
        <v>9.33</v>
      </c>
      <c r="E19" s="23">
        <v>18.1461</v>
      </c>
      <c r="F19" s="26">
        <f t="shared" si="1"/>
        <v>8.8161</v>
      </c>
      <c r="G19" s="27">
        <f t="shared" si="2"/>
        <v>6568.32</v>
      </c>
      <c r="H19" s="27">
        <f t="shared" si="3"/>
        <v>12774.8544</v>
      </c>
    </row>
    <row r="20">
      <c r="A20" s="18" t="s">
        <v>481</v>
      </c>
      <c r="B20" s="19" t="s">
        <v>483</v>
      </c>
      <c r="C20" s="21">
        <v>414.0</v>
      </c>
      <c r="D20" s="22">
        <v>8.93</v>
      </c>
      <c r="E20" s="23">
        <v>17.649</v>
      </c>
      <c r="F20" s="26">
        <f t="shared" si="1"/>
        <v>8.719</v>
      </c>
      <c r="G20" s="27">
        <f t="shared" si="2"/>
        <v>3697.02</v>
      </c>
      <c r="H20" s="27">
        <f t="shared" si="3"/>
        <v>7306.686</v>
      </c>
    </row>
    <row r="21">
      <c r="A21" s="18" t="s">
        <v>495</v>
      </c>
      <c r="B21" s="19" t="s">
        <v>498</v>
      </c>
      <c r="C21" s="21">
        <v>426.0</v>
      </c>
      <c r="D21" s="22">
        <v>6.77</v>
      </c>
      <c r="E21" s="23">
        <v>15.3856</v>
      </c>
      <c r="F21" s="26">
        <f t="shared" si="1"/>
        <v>8.6156</v>
      </c>
      <c r="G21" s="27">
        <f t="shared" si="2"/>
        <v>2884.02</v>
      </c>
      <c r="H21" s="27">
        <f t="shared" si="3"/>
        <v>6554.2656</v>
      </c>
    </row>
    <row r="22">
      <c r="A22" s="18" t="s">
        <v>511</v>
      </c>
      <c r="B22" s="19" t="s">
        <v>515</v>
      </c>
      <c r="C22" s="21">
        <v>238.0</v>
      </c>
      <c r="D22" s="22">
        <v>5.33</v>
      </c>
      <c r="E22" s="23">
        <v>13.2212</v>
      </c>
      <c r="F22" s="26">
        <f t="shared" si="1"/>
        <v>7.8912</v>
      </c>
      <c r="G22" s="27">
        <f t="shared" si="2"/>
        <v>1268.54</v>
      </c>
      <c r="H22" s="27">
        <f t="shared" si="3"/>
        <v>3146.6456</v>
      </c>
    </row>
    <row r="23">
      <c r="A23" s="18" t="s">
        <v>528</v>
      </c>
      <c r="B23" s="19" t="s">
        <v>530</v>
      </c>
      <c r="C23" s="21">
        <v>337.0</v>
      </c>
      <c r="D23" s="22">
        <v>7.3</v>
      </c>
      <c r="E23" s="23">
        <v>14.9902</v>
      </c>
      <c r="F23" s="26">
        <f t="shared" si="1"/>
        <v>7.6902</v>
      </c>
      <c r="G23" s="27">
        <f t="shared" si="2"/>
        <v>2460.1</v>
      </c>
      <c r="H23" s="27">
        <f t="shared" si="3"/>
        <v>5051.6974</v>
      </c>
    </row>
    <row r="24">
      <c r="A24" s="36" t="s">
        <v>544</v>
      </c>
      <c r="B24" s="19" t="s">
        <v>548</v>
      </c>
      <c r="C24" s="37"/>
      <c r="D24" s="22"/>
      <c r="F24" s="15">
        <f t="shared" si="1"/>
        <v>0</v>
      </c>
      <c r="G24" s="27">
        <f t="shared" si="2"/>
        <v>0</v>
      </c>
      <c r="H24" s="27">
        <f t="shared" si="3"/>
        <v>0</v>
      </c>
    </row>
    <row r="25">
      <c r="A25" s="18" t="s">
        <v>562</v>
      </c>
      <c r="B25" s="19" t="s">
        <v>563</v>
      </c>
      <c r="C25" s="21">
        <v>313.0</v>
      </c>
      <c r="D25" s="22">
        <v>3.5</v>
      </c>
      <c r="E25" s="23">
        <v>11.1679</v>
      </c>
      <c r="F25" s="26">
        <f t="shared" si="1"/>
        <v>7.6679</v>
      </c>
      <c r="G25" s="27">
        <f t="shared" si="2"/>
        <v>1095.5</v>
      </c>
      <c r="H25" s="27">
        <f t="shared" si="3"/>
        <v>3495.5527</v>
      </c>
    </row>
    <row r="26">
      <c r="A26" s="18" t="s">
        <v>580</v>
      </c>
      <c r="B26" s="19" t="s">
        <v>581</v>
      </c>
      <c r="C26" s="21">
        <v>218.0</v>
      </c>
      <c r="D26" s="22">
        <v>8.88</v>
      </c>
      <c r="E26" s="23">
        <v>16.5378</v>
      </c>
      <c r="F26" s="26">
        <f t="shared" si="1"/>
        <v>7.6578</v>
      </c>
      <c r="G26" s="27">
        <f t="shared" si="2"/>
        <v>1935.84</v>
      </c>
      <c r="H26" s="27">
        <f t="shared" si="3"/>
        <v>3605.2404</v>
      </c>
    </row>
    <row r="27">
      <c r="A27" s="18" t="s">
        <v>600</v>
      </c>
      <c r="B27" s="19" t="s">
        <v>603</v>
      </c>
      <c r="C27" s="21">
        <v>102.0</v>
      </c>
      <c r="D27" s="22">
        <v>8.38</v>
      </c>
      <c r="E27" s="23">
        <v>15.8221</v>
      </c>
      <c r="F27" s="26">
        <f t="shared" si="1"/>
        <v>7.4421</v>
      </c>
      <c r="G27" s="27">
        <f t="shared" si="2"/>
        <v>854.76</v>
      </c>
      <c r="H27" s="27">
        <f t="shared" si="3"/>
        <v>1613.8542</v>
      </c>
    </row>
    <row r="28">
      <c r="A28" s="18" t="s">
        <v>617</v>
      </c>
      <c r="B28" s="19" t="s">
        <v>191</v>
      </c>
      <c r="C28" s="21">
        <v>229.0</v>
      </c>
      <c r="D28" s="22">
        <v>8.87</v>
      </c>
      <c r="E28" s="23">
        <v>16.0423</v>
      </c>
      <c r="F28" s="26">
        <f t="shared" si="1"/>
        <v>7.1723</v>
      </c>
      <c r="G28" s="27">
        <f t="shared" si="2"/>
        <v>2031.23</v>
      </c>
      <c r="H28" s="27">
        <f t="shared" si="3"/>
        <v>3673.6867</v>
      </c>
    </row>
    <row r="29">
      <c r="A29" s="18" t="s">
        <v>633</v>
      </c>
      <c r="B29" s="19" t="s">
        <v>635</v>
      </c>
      <c r="C29" s="21">
        <v>509.0</v>
      </c>
      <c r="D29" s="22">
        <v>12.67</v>
      </c>
      <c r="E29" s="23">
        <v>19.7381</v>
      </c>
      <c r="F29" s="26">
        <f t="shared" si="1"/>
        <v>7.0681</v>
      </c>
      <c r="G29" s="27">
        <f t="shared" si="2"/>
        <v>6449.03</v>
      </c>
      <c r="H29" s="27">
        <f t="shared" si="3"/>
        <v>10046.6929</v>
      </c>
    </row>
    <row r="30">
      <c r="A30" s="18" t="s">
        <v>649</v>
      </c>
      <c r="B30" s="19" t="s">
        <v>652</v>
      </c>
      <c r="C30" s="21">
        <v>375.0</v>
      </c>
      <c r="D30" s="22">
        <v>5.52</v>
      </c>
      <c r="E30" s="23">
        <v>12.2818</v>
      </c>
      <c r="F30" s="26">
        <f t="shared" si="1"/>
        <v>6.7618</v>
      </c>
      <c r="G30" s="27">
        <f t="shared" si="2"/>
        <v>2070</v>
      </c>
      <c r="H30" s="27">
        <f t="shared" si="3"/>
        <v>4605.675</v>
      </c>
    </row>
    <row r="31">
      <c r="A31" s="18" t="s">
        <v>691</v>
      </c>
      <c r="B31" s="19" t="s">
        <v>694</v>
      </c>
      <c r="C31" s="21">
        <v>75.0</v>
      </c>
      <c r="D31" s="22">
        <v>5.38</v>
      </c>
      <c r="E31" s="23">
        <v>11.806</v>
      </c>
      <c r="F31" s="26">
        <f t="shared" si="1"/>
        <v>6.426</v>
      </c>
      <c r="G31" s="27">
        <f t="shared" si="2"/>
        <v>403.5</v>
      </c>
      <c r="H31" s="27">
        <f t="shared" si="3"/>
        <v>885.45</v>
      </c>
    </row>
    <row r="32">
      <c r="A32" s="18" t="s">
        <v>707</v>
      </c>
      <c r="B32" s="19" t="s">
        <v>709</v>
      </c>
      <c r="C32" s="21">
        <v>224.0</v>
      </c>
      <c r="D32" s="22">
        <v>7.85</v>
      </c>
      <c r="E32" s="23">
        <v>14.1558</v>
      </c>
      <c r="F32" s="26">
        <f t="shared" si="1"/>
        <v>6.3058</v>
      </c>
      <c r="G32" s="27">
        <f t="shared" si="2"/>
        <v>1758.4</v>
      </c>
      <c r="H32" s="27">
        <f t="shared" si="3"/>
        <v>3170.8992</v>
      </c>
    </row>
    <row r="33">
      <c r="A33" s="18" t="s">
        <v>730</v>
      </c>
      <c r="B33" s="19" t="s">
        <v>733</v>
      </c>
      <c r="C33" s="21">
        <v>548.0</v>
      </c>
      <c r="D33" s="22">
        <v>8.43</v>
      </c>
      <c r="E33" s="23">
        <v>14.3676</v>
      </c>
      <c r="F33" s="26">
        <f t="shared" si="1"/>
        <v>5.9376</v>
      </c>
      <c r="G33" s="27">
        <f t="shared" si="2"/>
        <v>4619.64</v>
      </c>
      <c r="H33" s="27">
        <f t="shared" si="3"/>
        <v>7873.4448</v>
      </c>
    </row>
    <row r="34">
      <c r="A34" s="18" t="s">
        <v>755</v>
      </c>
      <c r="B34" s="19" t="s">
        <v>758</v>
      </c>
      <c r="C34" s="21">
        <v>280.0</v>
      </c>
      <c r="D34" s="22">
        <v>12.23</v>
      </c>
      <c r="E34" s="23">
        <v>18.1441</v>
      </c>
      <c r="F34" s="26">
        <f t="shared" si="1"/>
        <v>5.9141</v>
      </c>
      <c r="G34" s="27">
        <f t="shared" si="2"/>
        <v>3424.4</v>
      </c>
      <c r="H34" s="27">
        <f t="shared" si="3"/>
        <v>5080.348</v>
      </c>
    </row>
    <row r="35">
      <c r="A35" s="18" t="s">
        <v>771</v>
      </c>
      <c r="B35" s="19" t="s">
        <v>774</v>
      </c>
      <c r="C35" s="21">
        <v>344.0</v>
      </c>
      <c r="D35" s="22">
        <v>19.5</v>
      </c>
      <c r="E35" s="23">
        <v>25.1587</v>
      </c>
      <c r="F35" s="26">
        <f t="shared" si="1"/>
        <v>5.6587</v>
      </c>
      <c r="G35" s="27">
        <f t="shared" si="2"/>
        <v>6708</v>
      </c>
      <c r="H35" s="27">
        <f t="shared" si="3"/>
        <v>8654.5928</v>
      </c>
    </row>
    <row r="36">
      <c r="A36" s="18" t="s">
        <v>796</v>
      </c>
      <c r="B36" s="19" t="s">
        <v>799</v>
      </c>
      <c r="C36" s="21">
        <v>216.0</v>
      </c>
      <c r="D36" s="22">
        <v>5.93</v>
      </c>
      <c r="E36" s="23">
        <v>11.4929</v>
      </c>
      <c r="F36" s="26">
        <f t="shared" si="1"/>
        <v>5.5629</v>
      </c>
      <c r="G36" s="27">
        <f t="shared" si="2"/>
        <v>1280.88</v>
      </c>
      <c r="H36" s="27">
        <f t="shared" si="3"/>
        <v>2482.4664</v>
      </c>
    </row>
    <row r="37">
      <c r="A37" s="18" t="s">
        <v>823</v>
      </c>
      <c r="B37" s="19" t="s">
        <v>826</v>
      </c>
      <c r="C37" s="21">
        <v>222.0</v>
      </c>
      <c r="D37" s="22">
        <v>6.73</v>
      </c>
      <c r="E37" s="23">
        <v>12.1954</v>
      </c>
      <c r="F37" s="26">
        <f t="shared" si="1"/>
        <v>5.4654</v>
      </c>
      <c r="G37" s="27">
        <f t="shared" si="2"/>
        <v>1494.06</v>
      </c>
      <c r="H37" s="27">
        <f t="shared" si="3"/>
        <v>2707.3788</v>
      </c>
    </row>
    <row r="38">
      <c r="A38" s="18" t="s">
        <v>848</v>
      </c>
      <c r="B38" s="19" t="s">
        <v>850</v>
      </c>
      <c r="C38" s="21">
        <v>109.0</v>
      </c>
      <c r="D38" s="22">
        <v>5.65</v>
      </c>
      <c r="E38" s="23">
        <v>10.8463</v>
      </c>
      <c r="F38" s="26">
        <f t="shared" si="1"/>
        <v>5.1963</v>
      </c>
      <c r="G38" s="27">
        <f t="shared" si="2"/>
        <v>615.85</v>
      </c>
      <c r="H38" s="27">
        <f t="shared" si="3"/>
        <v>1182.2467</v>
      </c>
    </row>
    <row r="39">
      <c r="A39" s="18" t="s">
        <v>871</v>
      </c>
      <c r="B39" s="19" t="s">
        <v>874</v>
      </c>
      <c r="C39" s="21">
        <v>239.0</v>
      </c>
      <c r="D39" s="22"/>
      <c r="E39" s="22"/>
      <c r="F39" s="15">
        <f t="shared" si="1"/>
        <v>0</v>
      </c>
      <c r="G39" s="27">
        <f t="shared" si="2"/>
        <v>0</v>
      </c>
      <c r="H39" s="27">
        <f t="shared" si="3"/>
        <v>0</v>
      </c>
    </row>
    <row r="40">
      <c r="A40" s="18" t="s">
        <v>894</v>
      </c>
      <c r="B40" s="19" t="s">
        <v>658</v>
      </c>
      <c r="C40" s="21">
        <v>492.0</v>
      </c>
      <c r="D40" s="22">
        <v>11.12</v>
      </c>
      <c r="E40" s="23">
        <v>16.2362</v>
      </c>
      <c r="F40" s="26">
        <f t="shared" si="1"/>
        <v>5.1162</v>
      </c>
      <c r="G40" s="27">
        <f t="shared" si="2"/>
        <v>5471.04</v>
      </c>
      <c r="H40" s="27">
        <f t="shared" si="3"/>
        <v>7988.2104</v>
      </c>
    </row>
    <row r="41">
      <c r="A41" s="18" t="s">
        <v>918</v>
      </c>
      <c r="B41" s="19" t="s">
        <v>922</v>
      </c>
      <c r="C41" s="21">
        <v>454.0</v>
      </c>
      <c r="D41" s="22">
        <v>5.93</v>
      </c>
      <c r="E41" s="23">
        <v>10.991</v>
      </c>
      <c r="F41" s="26">
        <f t="shared" si="1"/>
        <v>5.061</v>
      </c>
      <c r="G41" s="27">
        <f t="shared" si="2"/>
        <v>2692.22</v>
      </c>
      <c r="H41" s="27">
        <f t="shared" si="3"/>
        <v>4989.914</v>
      </c>
    </row>
    <row r="42">
      <c r="A42" s="18" t="s">
        <v>943</v>
      </c>
      <c r="B42" s="19" t="s">
        <v>946</v>
      </c>
      <c r="C42" s="21">
        <v>559.0</v>
      </c>
      <c r="D42" s="22">
        <v>10.2</v>
      </c>
      <c r="E42" s="23">
        <v>15.1823</v>
      </c>
      <c r="F42" s="26">
        <f t="shared" si="1"/>
        <v>4.9823</v>
      </c>
      <c r="G42" s="27">
        <f t="shared" si="2"/>
        <v>5701.8</v>
      </c>
      <c r="H42" s="27">
        <f t="shared" si="3"/>
        <v>8486.9057</v>
      </c>
    </row>
    <row r="43">
      <c r="A43" s="18" t="s">
        <v>968</v>
      </c>
      <c r="B43" s="19" t="s">
        <v>971</v>
      </c>
      <c r="C43" s="21">
        <v>310.0</v>
      </c>
      <c r="D43" s="22">
        <v>7.65</v>
      </c>
      <c r="E43" s="23">
        <v>12.5241</v>
      </c>
      <c r="F43" s="26">
        <f t="shared" si="1"/>
        <v>4.8741</v>
      </c>
      <c r="G43" s="27">
        <f t="shared" si="2"/>
        <v>2371.5</v>
      </c>
      <c r="H43" s="27">
        <f t="shared" si="3"/>
        <v>3882.471</v>
      </c>
    </row>
    <row r="44">
      <c r="A44" s="18" t="s">
        <v>990</v>
      </c>
      <c r="B44" s="19" t="s">
        <v>993</v>
      </c>
      <c r="C44" s="21">
        <v>252.0</v>
      </c>
      <c r="D44" s="22">
        <v>12.4</v>
      </c>
      <c r="E44" s="23">
        <v>16.8013</v>
      </c>
      <c r="F44" s="26">
        <f t="shared" si="1"/>
        <v>4.4013</v>
      </c>
      <c r="G44" s="27">
        <f t="shared" si="2"/>
        <v>3124.8</v>
      </c>
      <c r="H44" s="27">
        <f t="shared" si="3"/>
        <v>4233.9276</v>
      </c>
    </row>
    <row r="45">
      <c r="A45" s="18" t="s">
        <v>1010</v>
      </c>
      <c r="B45" s="19" t="s">
        <v>1012</v>
      </c>
      <c r="C45" s="21">
        <v>119.0</v>
      </c>
      <c r="D45" s="22">
        <v>9.93</v>
      </c>
      <c r="E45" s="23">
        <v>14.1948</v>
      </c>
      <c r="F45" s="26">
        <f t="shared" si="1"/>
        <v>4.2648</v>
      </c>
      <c r="G45" s="27">
        <f t="shared" si="2"/>
        <v>1181.67</v>
      </c>
      <c r="H45" s="27">
        <f t="shared" si="3"/>
        <v>1689.1812</v>
      </c>
    </row>
    <row r="46">
      <c r="A46" s="18" t="s">
        <v>1029</v>
      </c>
      <c r="B46" s="19" t="s">
        <v>1032</v>
      </c>
      <c r="C46" s="21">
        <v>756.0</v>
      </c>
      <c r="D46" s="22">
        <v>12.65</v>
      </c>
      <c r="E46" s="23">
        <v>16.904</v>
      </c>
      <c r="F46" s="26">
        <f t="shared" si="1"/>
        <v>4.254</v>
      </c>
      <c r="G46" s="27">
        <f t="shared" si="2"/>
        <v>9563.4</v>
      </c>
      <c r="H46" s="27">
        <f t="shared" si="3"/>
        <v>12779.424</v>
      </c>
    </row>
    <row r="47">
      <c r="A47" s="18" t="s">
        <v>1052</v>
      </c>
      <c r="B47" s="19" t="s">
        <v>1045</v>
      </c>
      <c r="C47" s="21">
        <v>415.0</v>
      </c>
      <c r="D47" s="22">
        <v>17.3</v>
      </c>
      <c r="E47" s="23">
        <v>21.4982</v>
      </c>
      <c r="F47" s="26">
        <f t="shared" si="1"/>
        <v>4.1982</v>
      </c>
      <c r="G47" s="27">
        <f t="shared" si="2"/>
        <v>7179.5</v>
      </c>
      <c r="H47" s="27">
        <f t="shared" si="3"/>
        <v>8921.753</v>
      </c>
    </row>
    <row r="48">
      <c r="A48" s="18" t="s">
        <v>1069</v>
      </c>
      <c r="B48" s="19" t="s">
        <v>1071</v>
      </c>
      <c r="C48" s="21">
        <v>142.0</v>
      </c>
      <c r="D48" s="22">
        <v>9.62</v>
      </c>
      <c r="E48" s="23">
        <v>13.7709</v>
      </c>
      <c r="F48" s="26">
        <f t="shared" si="1"/>
        <v>4.1509</v>
      </c>
      <c r="G48" s="27">
        <f t="shared" si="2"/>
        <v>1366.04</v>
      </c>
      <c r="H48" s="27">
        <f t="shared" si="3"/>
        <v>1955.4678</v>
      </c>
    </row>
    <row r="49">
      <c r="A49" s="18" t="s">
        <v>1083</v>
      </c>
      <c r="B49" s="19" t="s">
        <v>1085</v>
      </c>
      <c r="C49" s="21">
        <v>133.0</v>
      </c>
      <c r="D49" s="22">
        <v>7.25</v>
      </c>
      <c r="E49" s="23">
        <v>11.3131</v>
      </c>
      <c r="F49" s="26">
        <f t="shared" si="1"/>
        <v>4.0631</v>
      </c>
      <c r="G49" s="27">
        <f t="shared" si="2"/>
        <v>964.25</v>
      </c>
      <c r="H49" s="27">
        <f t="shared" si="3"/>
        <v>1504.6423</v>
      </c>
    </row>
    <row r="50">
      <c r="A50" s="18" t="s">
        <v>1098</v>
      </c>
      <c r="B50" s="19" t="s">
        <v>1100</v>
      </c>
      <c r="C50" s="21">
        <v>547.0</v>
      </c>
      <c r="D50" s="22">
        <v>6.92</v>
      </c>
      <c r="E50" s="23">
        <v>10.2332</v>
      </c>
      <c r="F50" s="26">
        <f t="shared" si="1"/>
        <v>3.3132</v>
      </c>
      <c r="G50" s="27">
        <f t="shared" si="2"/>
        <v>3785.24</v>
      </c>
      <c r="H50" s="27">
        <f t="shared" si="3"/>
        <v>5597.5604</v>
      </c>
    </row>
    <row r="51">
      <c r="A51" s="18" t="s">
        <v>1110</v>
      </c>
      <c r="B51" s="19" t="s">
        <v>1014</v>
      </c>
      <c r="C51" s="21">
        <v>264.0</v>
      </c>
      <c r="D51" s="22">
        <v>7.02</v>
      </c>
      <c r="E51" s="23">
        <v>10.2635</v>
      </c>
      <c r="F51" s="26">
        <f t="shared" si="1"/>
        <v>3.2435</v>
      </c>
      <c r="G51" s="27">
        <f t="shared" si="2"/>
        <v>1853.28</v>
      </c>
      <c r="H51" s="27">
        <f t="shared" si="3"/>
        <v>2709.564</v>
      </c>
    </row>
    <row r="52">
      <c r="A52" s="18" t="s">
        <v>1123</v>
      </c>
      <c r="B52" s="19" t="s">
        <v>1125</v>
      </c>
      <c r="C52" s="21">
        <v>457.0</v>
      </c>
      <c r="D52" s="22">
        <v>8.1</v>
      </c>
      <c r="E52" s="23">
        <v>11.2776</v>
      </c>
      <c r="F52" s="26">
        <f t="shared" si="1"/>
        <v>3.1776</v>
      </c>
      <c r="G52" s="27">
        <f t="shared" si="2"/>
        <v>3701.7</v>
      </c>
      <c r="H52" s="27">
        <f t="shared" si="3"/>
        <v>5153.8632</v>
      </c>
    </row>
    <row r="53">
      <c r="A53" s="18" t="s">
        <v>1142</v>
      </c>
      <c r="B53" s="19" t="s">
        <v>469</v>
      </c>
      <c r="C53" s="21">
        <v>211.0</v>
      </c>
      <c r="D53" s="22">
        <v>9.73</v>
      </c>
      <c r="E53" s="23">
        <v>12.708</v>
      </c>
      <c r="F53" s="26">
        <f t="shared" si="1"/>
        <v>2.978</v>
      </c>
      <c r="G53" s="27">
        <f t="shared" si="2"/>
        <v>2053.03</v>
      </c>
      <c r="H53" s="27">
        <f t="shared" si="3"/>
        <v>2681.388</v>
      </c>
    </row>
    <row r="54">
      <c r="A54" s="18" t="s">
        <v>1165</v>
      </c>
      <c r="B54" s="19" t="s">
        <v>1169</v>
      </c>
      <c r="C54" s="21">
        <v>279.0</v>
      </c>
      <c r="D54" s="22">
        <v>18.13</v>
      </c>
      <c r="E54" s="23">
        <v>21.0275</v>
      </c>
      <c r="F54" s="26">
        <f t="shared" si="1"/>
        <v>2.8975</v>
      </c>
      <c r="G54" s="27">
        <f t="shared" si="2"/>
        <v>5058.27</v>
      </c>
      <c r="H54" s="27">
        <f t="shared" si="3"/>
        <v>5866.6725</v>
      </c>
    </row>
    <row r="55">
      <c r="A55" s="18" t="s">
        <v>1189</v>
      </c>
      <c r="B55" s="19" t="s">
        <v>366</v>
      </c>
      <c r="C55" s="21">
        <v>169.0</v>
      </c>
      <c r="D55" s="22"/>
      <c r="E55" s="22"/>
      <c r="F55" s="15">
        <f t="shared" si="1"/>
        <v>0</v>
      </c>
      <c r="G55" s="27">
        <f t="shared" si="2"/>
        <v>0</v>
      </c>
      <c r="H55" s="27">
        <f t="shared" si="3"/>
        <v>0</v>
      </c>
    </row>
    <row r="56">
      <c r="A56" s="18" t="s">
        <v>1209</v>
      </c>
      <c r="B56" s="19" t="s">
        <v>1213</v>
      </c>
      <c r="C56" s="21">
        <v>336.0</v>
      </c>
      <c r="D56" s="22">
        <v>6.8</v>
      </c>
      <c r="E56" s="23">
        <v>9.1385</v>
      </c>
      <c r="F56" s="26">
        <f t="shared" si="1"/>
        <v>2.3385</v>
      </c>
      <c r="G56" s="27">
        <f t="shared" si="2"/>
        <v>2284.8</v>
      </c>
      <c r="H56" s="27">
        <f t="shared" si="3"/>
        <v>3070.536</v>
      </c>
    </row>
    <row r="57">
      <c r="A57" s="18" t="s">
        <v>1235</v>
      </c>
      <c r="B57" s="19" t="s">
        <v>1238</v>
      </c>
      <c r="C57" s="21">
        <v>845.0</v>
      </c>
      <c r="D57" s="22">
        <v>8.37</v>
      </c>
      <c r="E57" s="23">
        <v>10.6685</v>
      </c>
      <c r="F57" s="26">
        <f t="shared" si="1"/>
        <v>2.2985</v>
      </c>
      <c r="G57" s="27">
        <f t="shared" si="2"/>
        <v>7072.65</v>
      </c>
      <c r="H57" s="27">
        <f t="shared" si="3"/>
        <v>9014.8825</v>
      </c>
    </row>
    <row r="58">
      <c r="A58" s="18" t="s">
        <v>1260</v>
      </c>
      <c r="B58" s="19" t="s">
        <v>1263</v>
      </c>
      <c r="C58" s="21">
        <v>355.0</v>
      </c>
      <c r="D58" s="22">
        <v>11.48</v>
      </c>
      <c r="E58" s="23">
        <v>13.7669</v>
      </c>
      <c r="F58" s="26">
        <f t="shared" si="1"/>
        <v>2.2869</v>
      </c>
      <c r="G58" s="27">
        <f t="shared" si="2"/>
        <v>4075.4</v>
      </c>
      <c r="H58" s="27">
        <f t="shared" si="3"/>
        <v>4887.2495</v>
      </c>
    </row>
    <row r="59">
      <c r="A59" s="18" t="s">
        <v>1283</v>
      </c>
      <c r="B59" s="19" t="s">
        <v>479</v>
      </c>
      <c r="C59" s="21">
        <v>485.0</v>
      </c>
      <c r="D59" s="22">
        <v>14.93</v>
      </c>
      <c r="E59" s="23">
        <v>17.174</v>
      </c>
      <c r="F59" s="26">
        <f t="shared" si="1"/>
        <v>2.244</v>
      </c>
      <c r="G59" s="27">
        <f t="shared" si="2"/>
        <v>7241.05</v>
      </c>
      <c r="H59" s="27">
        <f t="shared" si="3"/>
        <v>8329.39</v>
      </c>
    </row>
    <row r="60">
      <c r="A60" s="18" t="s">
        <v>1305</v>
      </c>
      <c r="B60" s="19" t="s">
        <v>1308</v>
      </c>
      <c r="C60" s="21">
        <v>285.0</v>
      </c>
      <c r="D60" s="22">
        <v>8.7</v>
      </c>
      <c r="E60" s="23">
        <v>10.9019</v>
      </c>
      <c r="F60" s="26">
        <f t="shared" si="1"/>
        <v>2.2019</v>
      </c>
      <c r="G60" s="27">
        <f t="shared" si="2"/>
        <v>2479.5</v>
      </c>
      <c r="H60" s="27">
        <f t="shared" si="3"/>
        <v>3107.0415</v>
      </c>
    </row>
    <row r="61">
      <c r="A61" s="18" t="s">
        <v>1328</v>
      </c>
      <c r="B61" s="19" t="s">
        <v>91</v>
      </c>
      <c r="C61" s="21">
        <v>141.0</v>
      </c>
      <c r="D61" s="22">
        <v>21.45</v>
      </c>
      <c r="E61" s="23">
        <v>23.3974</v>
      </c>
      <c r="F61" s="26">
        <f t="shared" si="1"/>
        <v>1.9474</v>
      </c>
      <c r="G61" s="27">
        <f t="shared" si="2"/>
        <v>3024.45</v>
      </c>
      <c r="H61" s="27">
        <f t="shared" si="3"/>
        <v>3299.0334</v>
      </c>
    </row>
    <row r="62">
      <c r="A62" s="18" t="s">
        <v>1352</v>
      </c>
      <c r="B62" s="19" t="s">
        <v>1353</v>
      </c>
      <c r="C62" s="21">
        <v>310.0</v>
      </c>
      <c r="D62" s="22"/>
      <c r="E62" s="22"/>
      <c r="F62" s="15">
        <f t="shared" si="1"/>
        <v>0</v>
      </c>
      <c r="G62" s="27">
        <f t="shared" si="2"/>
        <v>0</v>
      </c>
      <c r="H62" s="27">
        <f t="shared" si="3"/>
        <v>0</v>
      </c>
    </row>
    <row r="63">
      <c r="A63" s="18" t="s">
        <v>1369</v>
      </c>
      <c r="B63" s="19" t="s">
        <v>886</v>
      </c>
      <c r="C63" s="21">
        <v>238.0</v>
      </c>
      <c r="D63" s="22">
        <v>17.38</v>
      </c>
      <c r="E63" s="23">
        <v>19.2776</v>
      </c>
      <c r="F63" s="26">
        <f t="shared" si="1"/>
        <v>1.8976</v>
      </c>
      <c r="G63" s="27">
        <f t="shared" si="2"/>
        <v>4136.44</v>
      </c>
      <c r="H63" s="27">
        <f t="shared" si="3"/>
        <v>4588.0688</v>
      </c>
    </row>
    <row r="64">
      <c r="A64" s="18" t="s">
        <v>1387</v>
      </c>
      <c r="B64" s="19" t="s">
        <v>1355</v>
      </c>
      <c r="C64" s="21">
        <v>290.0</v>
      </c>
      <c r="D64" s="22">
        <v>8.8</v>
      </c>
      <c r="E64" s="23">
        <v>10.5747</v>
      </c>
      <c r="F64" s="26">
        <f t="shared" si="1"/>
        <v>1.7747</v>
      </c>
      <c r="G64" s="27">
        <f t="shared" si="2"/>
        <v>2552</v>
      </c>
      <c r="H64" s="27">
        <f t="shared" si="3"/>
        <v>3066.663</v>
      </c>
    </row>
    <row r="65">
      <c r="A65" s="18" t="s">
        <v>1404</v>
      </c>
      <c r="B65" s="19" t="s">
        <v>1062</v>
      </c>
      <c r="C65" s="21">
        <v>260.0</v>
      </c>
      <c r="D65" s="22">
        <v>11.18</v>
      </c>
      <c r="E65" s="23">
        <v>12.807</v>
      </c>
      <c r="F65" s="26">
        <f t="shared" si="1"/>
        <v>1.627</v>
      </c>
      <c r="G65" s="27">
        <f t="shared" si="2"/>
        <v>2906.8</v>
      </c>
      <c r="H65" s="27">
        <f t="shared" si="3"/>
        <v>3329.82</v>
      </c>
    </row>
    <row r="66">
      <c r="A66" s="18" t="s">
        <v>1420</v>
      </c>
      <c r="B66" s="19" t="s">
        <v>281</v>
      </c>
      <c r="C66" s="21">
        <v>227.0</v>
      </c>
      <c r="D66" s="22">
        <v>12.97</v>
      </c>
      <c r="E66" s="23">
        <v>14.4965</v>
      </c>
      <c r="F66" s="26">
        <f t="shared" si="1"/>
        <v>1.5265</v>
      </c>
      <c r="G66" s="27">
        <f t="shared" si="2"/>
        <v>2944.19</v>
      </c>
      <c r="H66" s="27">
        <f t="shared" si="3"/>
        <v>3290.7055</v>
      </c>
    </row>
    <row r="67">
      <c r="A67" s="18" t="s">
        <v>1435</v>
      </c>
      <c r="B67" s="19" t="s">
        <v>1438</v>
      </c>
      <c r="C67" s="21">
        <v>357.0</v>
      </c>
      <c r="D67" s="22">
        <v>13.45</v>
      </c>
      <c r="E67" s="23">
        <v>14.9651</v>
      </c>
      <c r="F67" s="26">
        <f t="shared" si="1"/>
        <v>1.5151</v>
      </c>
      <c r="G67" s="27">
        <f t="shared" si="2"/>
        <v>4801.65</v>
      </c>
      <c r="H67" s="27">
        <f t="shared" si="3"/>
        <v>5342.5407</v>
      </c>
    </row>
    <row r="68">
      <c r="A68" s="18" t="s">
        <v>1454</v>
      </c>
      <c r="B68" s="19" t="s">
        <v>1456</v>
      </c>
      <c r="C68" s="21">
        <v>683.0</v>
      </c>
      <c r="D68" s="22">
        <v>14.77</v>
      </c>
      <c r="E68" s="23">
        <v>16.1793</v>
      </c>
      <c r="F68" s="26">
        <f t="shared" si="1"/>
        <v>1.4093</v>
      </c>
      <c r="G68" s="27">
        <f t="shared" si="2"/>
        <v>10087.91</v>
      </c>
      <c r="H68" s="27">
        <f t="shared" si="3"/>
        <v>11050.4619</v>
      </c>
    </row>
    <row r="69">
      <c r="A69" s="18" t="s">
        <v>1473</v>
      </c>
      <c r="B69" s="19" t="s">
        <v>1221</v>
      </c>
      <c r="C69" s="21">
        <v>355.0</v>
      </c>
      <c r="D69" s="22">
        <v>14.77</v>
      </c>
      <c r="E69" s="23">
        <v>16.0523</v>
      </c>
      <c r="F69" s="26">
        <f t="shared" si="1"/>
        <v>1.2823</v>
      </c>
      <c r="G69" s="27">
        <f t="shared" si="2"/>
        <v>5243.35</v>
      </c>
      <c r="H69" s="27">
        <f t="shared" si="3"/>
        <v>5698.5665</v>
      </c>
    </row>
    <row r="70">
      <c r="A70" s="18" t="s">
        <v>1501</v>
      </c>
      <c r="B70" s="19" t="s">
        <v>1504</v>
      </c>
      <c r="C70" s="21">
        <v>250.0</v>
      </c>
      <c r="D70" s="22">
        <v>8.8</v>
      </c>
      <c r="E70" s="23">
        <v>10.0636</v>
      </c>
      <c r="F70" s="26">
        <f t="shared" si="1"/>
        <v>1.2636</v>
      </c>
      <c r="G70" s="27">
        <f t="shared" si="2"/>
        <v>2200</v>
      </c>
      <c r="H70" s="27">
        <f t="shared" si="3"/>
        <v>2515.9</v>
      </c>
    </row>
    <row r="71">
      <c r="A71" s="18" t="s">
        <v>1518</v>
      </c>
      <c r="B71" s="19" t="s">
        <v>616</v>
      </c>
      <c r="C71" s="21">
        <v>182.0</v>
      </c>
      <c r="D71" s="22">
        <v>9.27</v>
      </c>
      <c r="E71" s="23">
        <v>10.5141</v>
      </c>
      <c r="F71" s="26">
        <f t="shared" si="1"/>
        <v>1.2441</v>
      </c>
      <c r="G71" s="27">
        <f t="shared" si="2"/>
        <v>1687.14</v>
      </c>
      <c r="H71" s="27">
        <f t="shared" si="3"/>
        <v>1913.5662</v>
      </c>
    </row>
    <row r="72">
      <c r="A72" s="18" t="s">
        <v>1541</v>
      </c>
      <c r="B72" s="19" t="s">
        <v>1547</v>
      </c>
      <c r="C72" s="21">
        <v>218.0</v>
      </c>
      <c r="D72" s="22">
        <v>13.52</v>
      </c>
      <c r="E72" s="23">
        <v>14.6691</v>
      </c>
      <c r="F72" s="26">
        <f t="shared" si="1"/>
        <v>1.1491</v>
      </c>
      <c r="G72" s="27">
        <f t="shared" si="2"/>
        <v>2947.36</v>
      </c>
      <c r="H72" s="27">
        <f t="shared" si="3"/>
        <v>3197.8638</v>
      </c>
    </row>
    <row r="73">
      <c r="A73" s="18" t="s">
        <v>1589</v>
      </c>
      <c r="B73" s="19" t="s">
        <v>1436</v>
      </c>
      <c r="C73" s="21">
        <v>353.0</v>
      </c>
      <c r="D73" s="22">
        <v>12.17</v>
      </c>
      <c r="E73" s="23">
        <v>13.2866</v>
      </c>
      <c r="F73" s="26">
        <f t="shared" si="1"/>
        <v>1.1166</v>
      </c>
      <c r="G73" s="27">
        <f t="shared" si="2"/>
        <v>4296.01</v>
      </c>
      <c r="H73" s="27">
        <f t="shared" si="3"/>
        <v>4690.1698</v>
      </c>
    </row>
    <row r="74">
      <c r="A74" s="18" t="s">
        <v>1616</v>
      </c>
      <c r="B74" s="19" t="s">
        <v>1618</v>
      </c>
      <c r="C74" s="21">
        <v>233.0</v>
      </c>
      <c r="D74" s="22">
        <v>13.8</v>
      </c>
      <c r="E74" s="23">
        <v>14.7792</v>
      </c>
      <c r="F74" s="26">
        <f t="shared" si="1"/>
        <v>0.9792</v>
      </c>
      <c r="G74" s="27">
        <f t="shared" si="2"/>
        <v>3215.4</v>
      </c>
      <c r="H74" s="27">
        <f t="shared" si="3"/>
        <v>3443.5536</v>
      </c>
    </row>
    <row r="75">
      <c r="A75" s="18" t="s">
        <v>1636</v>
      </c>
      <c r="B75" s="19" t="s">
        <v>326</v>
      </c>
      <c r="C75" s="21">
        <v>303.0</v>
      </c>
      <c r="D75" s="22">
        <v>12.47</v>
      </c>
      <c r="E75" s="23">
        <v>13.3804</v>
      </c>
      <c r="F75" s="26">
        <f t="shared" si="1"/>
        <v>0.9104</v>
      </c>
      <c r="G75" s="27">
        <f t="shared" si="2"/>
        <v>3778.41</v>
      </c>
      <c r="H75" s="27">
        <f t="shared" si="3"/>
        <v>4054.2612</v>
      </c>
    </row>
    <row r="76">
      <c r="A76" s="18" t="s">
        <v>1655</v>
      </c>
      <c r="B76" s="19" t="s">
        <v>1469</v>
      </c>
      <c r="C76" s="21">
        <v>1056.0</v>
      </c>
      <c r="D76" s="22">
        <v>11.85</v>
      </c>
      <c r="E76" s="23">
        <v>12.6294</v>
      </c>
      <c r="F76" s="26">
        <f t="shared" si="1"/>
        <v>0.7794</v>
      </c>
      <c r="G76" s="27">
        <f t="shared" si="2"/>
        <v>12513.6</v>
      </c>
      <c r="H76" s="27">
        <f t="shared" si="3"/>
        <v>13336.6464</v>
      </c>
    </row>
    <row r="77">
      <c r="A77" s="18" t="s">
        <v>1675</v>
      </c>
      <c r="B77" s="19" t="s">
        <v>1677</v>
      </c>
      <c r="C77" s="21">
        <v>140.0</v>
      </c>
      <c r="D77" s="22">
        <v>13.73</v>
      </c>
      <c r="E77" s="23">
        <v>14.2813</v>
      </c>
      <c r="F77" s="26">
        <f t="shared" si="1"/>
        <v>0.5513</v>
      </c>
      <c r="G77" s="27">
        <f t="shared" si="2"/>
        <v>1922.2</v>
      </c>
      <c r="H77" s="27">
        <f t="shared" si="3"/>
        <v>1999.382</v>
      </c>
    </row>
    <row r="78">
      <c r="A78" s="18" t="s">
        <v>1696</v>
      </c>
      <c r="B78" s="19" t="s">
        <v>1678</v>
      </c>
      <c r="C78" s="21">
        <v>110.0</v>
      </c>
      <c r="D78" s="22">
        <v>11.95</v>
      </c>
      <c r="E78" s="23">
        <v>12.418</v>
      </c>
      <c r="F78" s="26">
        <f t="shared" si="1"/>
        <v>0.468</v>
      </c>
      <c r="G78" s="27">
        <f t="shared" si="2"/>
        <v>1314.5</v>
      </c>
      <c r="H78" s="27">
        <f t="shared" si="3"/>
        <v>1365.98</v>
      </c>
    </row>
    <row r="79">
      <c r="A79" s="18" t="s">
        <v>1714</v>
      </c>
      <c r="B79" s="19" t="s">
        <v>1717</v>
      </c>
      <c r="C79" s="21">
        <v>327.0</v>
      </c>
      <c r="D79" s="22">
        <v>10.78</v>
      </c>
      <c r="E79" s="23">
        <v>11.235</v>
      </c>
      <c r="F79" s="26">
        <f t="shared" si="1"/>
        <v>0.455</v>
      </c>
      <c r="G79" s="27">
        <f t="shared" si="2"/>
        <v>3525.06</v>
      </c>
      <c r="H79" s="27">
        <f t="shared" si="3"/>
        <v>3673.845</v>
      </c>
    </row>
    <row r="80">
      <c r="A80" s="18" t="s">
        <v>1736</v>
      </c>
      <c r="B80" s="19" t="s">
        <v>111</v>
      </c>
      <c r="C80" s="21">
        <v>356.0</v>
      </c>
      <c r="D80" s="22">
        <v>12.4</v>
      </c>
      <c r="E80" s="23">
        <v>12.7347</v>
      </c>
      <c r="F80" s="26">
        <f t="shared" si="1"/>
        <v>0.3347</v>
      </c>
      <c r="G80" s="27">
        <f t="shared" si="2"/>
        <v>4414.4</v>
      </c>
      <c r="H80" s="27">
        <f t="shared" si="3"/>
        <v>4533.5532</v>
      </c>
    </row>
    <row r="81">
      <c r="A81" s="18" t="s">
        <v>1758</v>
      </c>
      <c r="B81" s="19" t="s">
        <v>317</v>
      </c>
      <c r="C81" s="21">
        <v>239.0</v>
      </c>
      <c r="D81" s="22">
        <v>11.07</v>
      </c>
      <c r="E81" s="23">
        <v>11.3831</v>
      </c>
      <c r="F81" s="26">
        <f t="shared" si="1"/>
        <v>0.3131</v>
      </c>
      <c r="G81" s="27">
        <f t="shared" si="2"/>
        <v>2645.73</v>
      </c>
      <c r="H81" s="27">
        <f t="shared" si="3"/>
        <v>2720.5609</v>
      </c>
    </row>
    <row r="82">
      <c r="A82" s="18" t="s">
        <v>1777</v>
      </c>
      <c r="B82" s="19" t="s">
        <v>537</v>
      </c>
      <c r="C82" s="21">
        <v>253.0</v>
      </c>
      <c r="D82" s="22">
        <v>19.15</v>
      </c>
      <c r="E82" s="23">
        <v>19.3919</v>
      </c>
      <c r="F82" s="26">
        <f t="shared" si="1"/>
        <v>0.2419</v>
      </c>
      <c r="G82" s="27">
        <f t="shared" si="2"/>
        <v>4844.95</v>
      </c>
      <c r="H82" s="27">
        <f t="shared" si="3"/>
        <v>4906.1507</v>
      </c>
    </row>
    <row r="83">
      <c r="A83" s="18" t="s">
        <v>1798</v>
      </c>
      <c r="B83" s="19" t="s">
        <v>1802</v>
      </c>
      <c r="C83" s="21">
        <v>496.0</v>
      </c>
      <c r="D83" s="22">
        <v>12.85</v>
      </c>
      <c r="E83" s="23">
        <v>12.9943</v>
      </c>
      <c r="F83" s="26">
        <f t="shared" si="1"/>
        <v>0.1443</v>
      </c>
      <c r="G83" s="27">
        <f t="shared" si="2"/>
        <v>6373.6</v>
      </c>
      <c r="H83" s="27">
        <f t="shared" si="3"/>
        <v>6445.1728</v>
      </c>
    </row>
    <row r="84">
      <c r="A84" s="18" t="s">
        <v>1831</v>
      </c>
      <c r="B84" s="19" t="s">
        <v>1833</v>
      </c>
      <c r="C84" s="21">
        <v>469.0</v>
      </c>
      <c r="D84" s="22">
        <v>11.65</v>
      </c>
      <c r="E84" s="23">
        <v>11.7813</v>
      </c>
      <c r="F84" s="26">
        <f t="shared" si="1"/>
        <v>0.1313</v>
      </c>
      <c r="G84" s="27">
        <f t="shared" si="2"/>
        <v>5463.85</v>
      </c>
      <c r="H84" s="27">
        <f t="shared" si="3"/>
        <v>5525.4297</v>
      </c>
    </row>
    <row r="85">
      <c r="A85" s="18" t="s">
        <v>1847</v>
      </c>
      <c r="B85" s="19" t="s">
        <v>1849</v>
      </c>
      <c r="C85" s="21">
        <v>137.0</v>
      </c>
      <c r="D85" s="22">
        <v>11.43</v>
      </c>
      <c r="E85" s="23">
        <v>11.4993</v>
      </c>
      <c r="F85" s="26">
        <f t="shared" si="1"/>
        <v>0.0693</v>
      </c>
      <c r="G85" s="27">
        <f t="shared" si="2"/>
        <v>1565.91</v>
      </c>
      <c r="H85" s="27">
        <f t="shared" si="3"/>
        <v>1575.4041</v>
      </c>
      <c r="M85" s="28" t="s">
        <v>1866</v>
      </c>
    </row>
    <row r="86">
      <c r="A86" s="18" t="s">
        <v>1869</v>
      </c>
      <c r="B86" s="19" t="s">
        <v>1872</v>
      </c>
      <c r="C86" s="21">
        <v>363.0</v>
      </c>
      <c r="D86" s="22">
        <v>16.1</v>
      </c>
      <c r="E86" s="23">
        <v>16.1495</v>
      </c>
      <c r="F86" s="26">
        <f t="shared" si="1"/>
        <v>0.0495</v>
      </c>
      <c r="G86" s="27">
        <f t="shared" si="2"/>
        <v>5844.3</v>
      </c>
      <c r="H86" s="27">
        <f t="shared" si="3"/>
        <v>5862.2685</v>
      </c>
      <c r="K86" s="28">
        <v>26280.0</v>
      </c>
      <c r="L86" s="28" t="s">
        <v>1895</v>
      </c>
      <c r="M86" s="38">
        <f>K86/K87</f>
        <v>0.5885910099</v>
      </c>
    </row>
    <row r="87">
      <c r="A87" s="18" t="s">
        <v>1918</v>
      </c>
      <c r="B87" s="19" t="s">
        <v>1920</v>
      </c>
      <c r="C87" s="21">
        <v>331.0</v>
      </c>
      <c r="D87" s="22">
        <v>18.95</v>
      </c>
      <c r="E87" s="23">
        <v>18.621</v>
      </c>
      <c r="F87" s="26">
        <f t="shared" si="1"/>
        <v>-0.329</v>
      </c>
      <c r="G87" s="27">
        <f t="shared" si="2"/>
        <v>6272.45</v>
      </c>
      <c r="H87" s="27">
        <f t="shared" si="3"/>
        <v>6163.551</v>
      </c>
      <c r="K87" s="28">
        <v>44649.0</v>
      </c>
      <c r="L87" s="28" t="s">
        <v>1936</v>
      </c>
    </row>
    <row r="88">
      <c r="A88" s="18" t="s">
        <v>1939</v>
      </c>
      <c r="B88" s="19" t="s">
        <v>961</v>
      </c>
      <c r="C88" s="21">
        <v>149.0</v>
      </c>
      <c r="D88" s="22">
        <v>13.0</v>
      </c>
      <c r="E88" s="23">
        <v>12.4333</v>
      </c>
      <c r="F88" s="26">
        <f t="shared" si="1"/>
        <v>-0.5667</v>
      </c>
      <c r="G88" s="27">
        <f t="shared" si="2"/>
        <v>1937</v>
      </c>
      <c r="H88" s="27">
        <f t="shared" si="3"/>
        <v>1852.5617</v>
      </c>
    </row>
    <row r="89">
      <c r="A89" s="18" t="s">
        <v>1956</v>
      </c>
      <c r="B89" s="19" t="s">
        <v>1397</v>
      </c>
      <c r="C89" s="21">
        <v>276.0</v>
      </c>
      <c r="D89" s="22">
        <v>15.33</v>
      </c>
      <c r="E89" s="23">
        <v>14.5247</v>
      </c>
      <c r="F89" s="26">
        <f t="shared" si="1"/>
        <v>-0.8053</v>
      </c>
      <c r="G89" s="27">
        <f t="shared" si="2"/>
        <v>4231.08</v>
      </c>
      <c r="H89" s="27">
        <f t="shared" si="3"/>
        <v>4008.8172</v>
      </c>
    </row>
    <row r="90">
      <c r="A90" s="18" t="s">
        <v>1974</v>
      </c>
      <c r="B90" s="19" t="s">
        <v>211</v>
      </c>
      <c r="C90" s="21">
        <v>161.0</v>
      </c>
      <c r="D90" s="22">
        <v>7.65</v>
      </c>
      <c r="E90" s="23">
        <v>6.8399</v>
      </c>
      <c r="F90" s="26">
        <f t="shared" si="1"/>
        <v>-0.8101</v>
      </c>
      <c r="G90" s="27">
        <f t="shared" si="2"/>
        <v>1231.65</v>
      </c>
      <c r="H90" s="27">
        <f t="shared" si="3"/>
        <v>1101.2239</v>
      </c>
    </row>
    <row r="91">
      <c r="A91" s="18" t="s">
        <v>2000</v>
      </c>
      <c r="B91" s="19" t="s">
        <v>1427</v>
      </c>
      <c r="C91" s="21">
        <v>270.0</v>
      </c>
      <c r="D91" s="22">
        <v>12.88</v>
      </c>
      <c r="E91" s="23">
        <v>12.0489</v>
      </c>
      <c r="F91" s="26">
        <f t="shared" si="1"/>
        <v>-0.8311</v>
      </c>
      <c r="G91" s="27">
        <f t="shared" si="2"/>
        <v>3477.6</v>
      </c>
      <c r="H91" s="27">
        <f t="shared" si="3"/>
        <v>3253.203</v>
      </c>
    </row>
    <row r="92">
      <c r="A92" s="18" t="s">
        <v>2017</v>
      </c>
      <c r="B92" s="19" t="s">
        <v>2007</v>
      </c>
      <c r="C92" s="21">
        <v>304.0</v>
      </c>
      <c r="D92" s="22">
        <v>16.22</v>
      </c>
      <c r="E92" s="23">
        <v>15.3869</v>
      </c>
      <c r="F92" s="26">
        <f t="shared" si="1"/>
        <v>-0.8331</v>
      </c>
      <c r="G92" s="27">
        <f t="shared" si="2"/>
        <v>4930.88</v>
      </c>
      <c r="H92" s="27">
        <f t="shared" si="3"/>
        <v>4677.6176</v>
      </c>
    </row>
    <row r="93">
      <c r="A93" s="18" t="s">
        <v>2038</v>
      </c>
      <c r="B93" s="19" t="s">
        <v>77</v>
      </c>
      <c r="C93" s="21">
        <v>49.0</v>
      </c>
      <c r="D93" s="22">
        <v>16.93</v>
      </c>
      <c r="E93" s="23">
        <v>16.0202</v>
      </c>
      <c r="F93" s="26">
        <f t="shared" si="1"/>
        <v>-0.9098</v>
      </c>
      <c r="G93" s="27">
        <f t="shared" si="2"/>
        <v>829.57</v>
      </c>
      <c r="H93" s="27">
        <f t="shared" si="3"/>
        <v>784.9898</v>
      </c>
    </row>
    <row r="94">
      <c r="A94" s="18" t="s">
        <v>2059</v>
      </c>
      <c r="B94" s="19" t="s">
        <v>2061</v>
      </c>
      <c r="C94" s="21">
        <v>487.0</v>
      </c>
      <c r="D94" s="22">
        <v>14.87</v>
      </c>
      <c r="E94" s="23">
        <v>13.8575</v>
      </c>
      <c r="F94" s="26">
        <f t="shared" si="1"/>
        <v>-1.0125</v>
      </c>
      <c r="G94" s="27">
        <f t="shared" si="2"/>
        <v>7241.69</v>
      </c>
      <c r="H94" s="27">
        <f t="shared" si="3"/>
        <v>6748.6025</v>
      </c>
    </row>
    <row r="95">
      <c r="A95" s="18" t="s">
        <v>2076</v>
      </c>
      <c r="B95" s="19" t="s">
        <v>435</v>
      </c>
      <c r="C95" s="21">
        <v>493.0</v>
      </c>
      <c r="D95" s="22">
        <v>10.95</v>
      </c>
      <c r="E95" s="23">
        <v>9.8808</v>
      </c>
      <c r="F95" s="26">
        <f t="shared" si="1"/>
        <v>-1.0692</v>
      </c>
      <c r="G95" s="27">
        <f t="shared" si="2"/>
        <v>5398.35</v>
      </c>
      <c r="H95" s="27">
        <f t="shared" si="3"/>
        <v>4871.2344</v>
      </c>
    </row>
    <row r="96">
      <c r="A96" s="18" t="s">
        <v>2095</v>
      </c>
      <c r="B96" s="19" t="s">
        <v>2097</v>
      </c>
      <c r="C96" s="21">
        <v>217.0</v>
      </c>
      <c r="D96" s="22">
        <v>14.35</v>
      </c>
      <c r="E96" s="23">
        <v>13.0963</v>
      </c>
      <c r="F96" s="26">
        <f t="shared" si="1"/>
        <v>-1.2537</v>
      </c>
      <c r="G96" s="27">
        <f t="shared" si="2"/>
        <v>3113.95</v>
      </c>
      <c r="H96" s="27">
        <f t="shared" si="3"/>
        <v>2841.8971</v>
      </c>
    </row>
    <row r="97">
      <c r="A97" s="18" t="s">
        <v>2113</v>
      </c>
      <c r="B97" s="19" t="s">
        <v>2115</v>
      </c>
      <c r="C97" s="21">
        <v>318.0</v>
      </c>
      <c r="D97" s="22">
        <v>19.47</v>
      </c>
      <c r="E97" s="23">
        <v>18.165</v>
      </c>
      <c r="F97" s="26">
        <f t="shared" si="1"/>
        <v>-1.305</v>
      </c>
      <c r="G97" s="27">
        <f t="shared" si="2"/>
        <v>6191.46</v>
      </c>
      <c r="H97" s="27">
        <f t="shared" si="3"/>
        <v>5776.47</v>
      </c>
    </row>
    <row r="98">
      <c r="A98" s="18" t="s">
        <v>2133</v>
      </c>
      <c r="B98" s="19" t="s">
        <v>2135</v>
      </c>
      <c r="C98" s="21">
        <v>180.0</v>
      </c>
      <c r="D98" s="22">
        <v>13.28</v>
      </c>
      <c r="E98" s="23">
        <v>11.7785</v>
      </c>
      <c r="F98" s="26">
        <f t="shared" si="1"/>
        <v>-1.5015</v>
      </c>
      <c r="G98" s="27">
        <f t="shared" si="2"/>
        <v>2390.4</v>
      </c>
      <c r="H98" s="27">
        <f t="shared" si="3"/>
        <v>2120.13</v>
      </c>
    </row>
    <row r="99">
      <c r="A99" s="18" t="s">
        <v>2152</v>
      </c>
      <c r="B99" s="19" t="s">
        <v>629</v>
      </c>
      <c r="C99" s="21">
        <v>298.0</v>
      </c>
      <c r="D99" s="22">
        <v>11.93</v>
      </c>
      <c r="E99" s="23">
        <v>10.2875</v>
      </c>
      <c r="F99" s="26">
        <f t="shared" si="1"/>
        <v>-1.6425</v>
      </c>
      <c r="G99" s="27">
        <f t="shared" si="2"/>
        <v>3555.14</v>
      </c>
      <c r="H99" s="27">
        <f t="shared" si="3"/>
        <v>3065.675</v>
      </c>
    </row>
    <row r="100">
      <c r="A100" s="18" t="s">
        <v>2189</v>
      </c>
      <c r="B100" s="19" t="s">
        <v>2192</v>
      </c>
      <c r="C100" s="21">
        <v>345.0</v>
      </c>
      <c r="D100" s="22">
        <v>19.4</v>
      </c>
      <c r="E100" s="23">
        <v>17.2837</v>
      </c>
      <c r="F100" s="26">
        <f t="shared" si="1"/>
        <v>-2.1163</v>
      </c>
      <c r="G100" s="27">
        <f t="shared" si="2"/>
        <v>6693</v>
      </c>
      <c r="H100" s="27">
        <f t="shared" si="3"/>
        <v>5962.8765</v>
      </c>
    </row>
    <row r="101">
      <c r="A101" s="18" t="s">
        <v>2210</v>
      </c>
      <c r="B101" s="19" t="s">
        <v>2212</v>
      </c>
      <c r="C101" s="21">
        <v>346.0</v>
      </c>
      <c r="D101" s="22">
        <v>18.45</v>
      </c>
      <c r="E101" s="23">
        <v>16.3224</v>
      </c>
      <c r="F101" s="26">
        <f t="shared" si="1"/>
        <v>-2.1276</v>
      </c>
      <c r="G101" s="27">
        <f t="shared" si="2"/>
        <v>6383.7</v>
      </c>
      <c r="H101" s="27">
        <f t="shared" si="3"/>
        <v>5647.5504</v>
      </c>
    </row>
    <row r="102">
      <c r="A102" s="18" t="s">
        <v>2220</v>
      </c>
      <c r="B102" s="19" t="s">
        <v>255</v>
      </c>
      <c r="C102" s="21">
        <v>170.0</v>
      </c>
      <c r="D102" s="22">
        <v>17.62</v>
      </c>
      <c r="E102" s="23">
        <v>15.3549</v>
      </c>
      <c r="F102" s="26">
        <f t="shared" si="1"/>
        <v>-2.2651</v>
      </c>
      <c r="G102" s="27">
        <f t="shared" si="2"/>
        <v>2995.4</v>
      </c>
      <c r="H102" s="27">
        <f t="shared" si="3"/>
        <v>2610.333</v>
      </c>
    </row>
    <row r="103">
      <c r="A103" s="18" t="s">
        <v>2223</v>
      </c>
      <c r="B103" s="19" t="s">
        <v>2225</v>
      </c>
      <c r="C103" s="21">
        <v>132.0</v>
      </c>
      <c r="D103" s="22">
        <v>16.58</v>
      </c>
      <c r="E103" s="23">
        <v>13.8642</v>
      </c>
      <c r="F103" s="26">
        <f t="shared" si="1"/>
        <v>-2.7158</v>
      </c>
      <c r="G103" s="27">
        <f t="shared" si="2"/>
        <v>2188.56</v>
      </c>
      <c r="H103" s="27">
        <f t="shared" si="3"/>
        <v>1830.0744</v>
      </c>
    </row>
    <row r="104">
      <c r="A104" s="18" t="s">
        <v>2227</v>
      </c>
      <c r="B104" s="19" t="s">
        <v>1904</v>
      </c>
      <c r="C104" s="21">
        <v>565.0</v>
      </c>
      <c r="D104" s="22">
        <v>14.62</v>
      </c>
      <c r="E104" s="23">
        <v>11.8234</v>
      </c>
      <c r="F104" s="26">
        <f t="shared" si="1"/>
        <v>-2.7966</v>
      </c>
      <c r="G104" s="27">
        <f t="shared" si="2"/>
        <v>8260.3</v>
      </c>
      <c r="H104" s="27">
        <f t="shared" si="3"/>
        <v>6680.221</v>
      </c>
    </row>
    <row r="105">
      <c r="A105" s="18" t="s">
        <v>2229</v>
      </c>
      <c r="B105" s="19" t="s">
        <v>2080</v>
      </c>
      <c r="C105" s="21">
        <v>438.0</v>
      </c>
      <c r="D105" s="22">
        <v>26.12</v>
      </c>
      <c r="E105" s="23">
        <v>23.2617</v>
      </c>
      <c r="F105" s="26">
        <f t="shared" si="1"/>
        <v>-2.8583</v>
      </c>
      <c r="G105" s="27">
        <f t="shared" si="2"/>
        <v>11440.56</v>
      </c>
      <c r="H105" s="27">
        <f t="shared" si="3"/>
        <v>10188.6246</v>
      </c>
    </row>
    <row r="106">
      <c r="A106" s="18" t="s">
        <v>2232</v>
      </c>
      <c r="B106" s="19" t="s">
        <v>2233</v>
      </c>
      <c r="C106" s="21">
        <v>348.0</v>
      </c>
      <c r="D106" s="22">
        <v>13.1</v>
      </c>
      <c r="E106" s="23">
        <v>10.2326</v>
      </c>
      <c r="F106" s="26">
        <f t="shared" si="1"/>
        <v>-2.8674</v>
      </c>
      <c r="G106" s="27">
        <f t="shared" si="2"/>
        <v>4558.8</v>
      </c>
      <c r="H106" s="27">
        <f t="shared" si="3"/>
        <v>3560.9448</v>
      </c>
    </row>
    <row r="107">
      <c r="A107" s="18" t="s">
        <v>2236</v>
      </c>
      <c r="B107" s="19" t="s">
        <v>2237</v>
      </c>
      <c r="C107" s="21">
        <v>417.0</v>
      </c>
      <c r="D107" s="22">
        <v>13.08</v>
      </c>
      <c r="E107" s="23">
        <v>10.0989</v>
      </c>
      <c r="F107" s="26">
        <f t="shared" si="1"/>
        <v>-2.9811</v>
      </c>
      <c r="G107" s="27">
        <f t="shared" si="2"/>
        <v>5454.36</v>
      </c>
      <c r="H107" s="27">
        <f t="shared" si="3"/>
        <v>4211.2413</v>
      </c>
    </row>
    <row r="108">
      <c r="A108" s="18" t="s">
        <v>2239</v>
      </c>
      <c r="B108" s="19" t="s">
        <v>2240</v>
      </c>
      <c r="C108" s="21">
        <v>694.0</v>
      </c>
      <c r="D108" s="22">
        <v>14.05</v>
      </c>
      <c r="E108" s="23">
        <v>10.4152</v>
      </c>
      <c r="F108" s="26">
        <f t="shared" si="1"/>
        <v>-3.6348</v>
      </c>
      <c r="G108" s="27">
        <f t="shared" si="2"/>
        <v>9750.7</v>
      </c>
      <c r="H108" s="27">
        <f t="shared" si="3"/>
        <v>7228.1488</v>
      </c>
    </row>
    <row r="109">
      <c r="A109" s="18" t="s">
        <v>2243</v>
      </c>
      <c r="B109" s="19" t="s">
        <v>2244</v>
      </c>
      <c r="C109" s="21">
        <v>214.0</v>
      </c>
      <c r="D109" s="22">
        <v>17.4</v>
      </c>
      <c r="E109" s="23">
        <v>13.5963</v>
      </c>
      <c r="F109" s="26">
        <f t="shared" si="1"/>
        <v>-3.8037</v>
      </c>
      <c r="G109" s="27">
        <f t="shared" si="2"/>
        <v>3723.6</v>
      </c>
      <c r="H109" s="27">
        <f t="shared" si="3"/>
        <v>2909.6082</v>
      </c>
    </row>
    <row r="110">
      <c r="A110" s="18" t="s">
        <v>2246</v>
      </c>
      <c r="B110" s="19" t="s">
        <v>506</v>
      </c>
      <c r="C110" s="21">
        <v>98.0</v>
      </c>
      <c r="D110" s="22">
        <v>16.07</v>
      </c>
      <c r="E110" s="23">
        <v>11.887</v>
      </c>
      <c r="F110" s="26">
        <f t="shared" si="1"/>
        <v>-4.183</v>
      </c>
      <c r="G110" s="27">
        <f t="shared" si="2"/>
        <v>1574.86</v>
      </c>
      <c r="H110" s="27">
        <f t="shared" si="3"/>
        <v>1164.926</v>
      </c>
    </row>
    <row r="111">
      <c r="A111" s="18" t="s">
        <v>2248</v>
      </c>
      <c r="B111" s="19" t="s">
        <v>2249</v>
      </c>
      <c r="C111" s="21">
        <v>124.0</v>
      </c>
      <c r="D111" s="22">
        <v>21.27</v>
      </c>
      <c r="E111" s="23">
        <v>16.9584</v>
      </c>
      <c r="F111" s="26">
        <f t="shared" si="1"/>
        <v>-4.3116</v>
      </c>
      <c r="G111" s="27">
        <f t="shared" si="2"/>
        <v>2637.48</v>
      </c>
      <c r="H111" s="27">
        <f t="shared" si="3"/>
        <v>2102.8416</v>
      </c>
    </row>
    <row r="112">
      <c r="A112" s="18" t="s">
        <v>2252</v>
      </c>
      <c r="B112" s="19" t="s">
        <v>2250</v>
      </c>
      <c r="C112" s="21">
        <v>212.0</v>
      </c>
      <c r="D112" s="22">
        <v>14.93</v>
      </c>
      <c r="E112" s="23">
        <v>10.5975</v>
      </c>
      <c r="F112" s="26">
        <f t="shared" si="1"/>
        <v>-4.3325</v>
      </c>
      <c r="G112" s="27">
        <f t="shared" si="2"/>
        <v>3165.16</v>
      </c>
      <c r="H112" s="27">
        <f t="shared" si="3"/>
        <v>2246.67</v>
      </c>
    </row>
    <row r="113">
      <c r="A113" s="18" t="s">
        <v>2253</v>
      </c>
      <c r="B113" s="19" t="s">
        <v>2254</v>
      </c>
      <c r="C113" s="21">
        <v>142.0</v>
      </c>
      <c r="D113" s="22">
        <v>18.98</v>
      </c>
      <c r="E113" s="23">
        <v>14.5181</v>
      </c>
      <c r="F113" s="26">
        <f t="shared" si="1"/>
        <v>-4.4619</v>
      </c>
      <c r="G113" s="27">
        <f t="shared" si="2"/>
        <v>2695.16</v>
      </c>
      <c r="H113" s="27">
        <f t="shared" si="3"/>
        <v>2061.5702</v>
      </c>
    </row>
    <row r="114">
      <c r="A114" s="18" t="s">
        <v>2257</v>
      </c>
      <c r="B114" s="19" t="s">
        <v>2258</v>
      </c>
      <c r="C114" s="21">
        <v>319.0</v>
      </c>
      <c r="D114" s="22">
        <v>20.12</v>
      </c>
      <c r="E114" s="23">
        <v>15.5094</v>
      </c>
      <c r="F114" s="26">
        <f t="shared" si="1"/>
        <v>-4.6106</v>
      </c>
      <c r="G114" s="27">
        <f t="shared" si="2"/>
        <v>6418.28</v>
      </c>
      <c r="H114" s="27">
        <f t="shared" si="3"/>
        <v>4947.4986</v>
      </c>
    </row>
    <row r="115">
      <c r="A115" s="18" t="s">
        <v>2262</v>
      </c>
      <c r="B115" s="19" t="s">
        <v>2263</v>
      </c>
      <c r="C115" s="21">
        <v>275.0</v>
      </c>
      <c r="D115" s="22">
        <v>19.35</v>
      </c>
      <c r="E115" s="23">
        <v>14.1695</v>
      </c>
      <c r="F115" s="26">
        <f t="shared" si="1"/>
        <v>-5.1805</v>
      </c>
      <c r="G115" s="27">
        <f t="shared" si="2"/>
        <v>5321.25</v>
      </c>
      <c r="H115" s="27">
        <f t="shared" si="3"/>
        <v>3896.6125</v>
      </c>
    </row>
    <row r="116">
      <c r="A116" s="18" t="s">
        <v>2265</v>
      </c>
      <c r="B116" s="19" t="s">
        <v>688</v>
      </c>
      <c r="C116" s="21">
        <v>319.0</v>
      </c>
      <c r="D116" s="22">
        <v>17.2</v>
      </c>
      <c r="E116" s="23">
        <v>11.5686</v>
      </c>
      <c r="F116" s="26">
        <f t="shared" si="1"/>
        <v>-5.6314</v>
      </c>
      <c r="G116" s="27">
        <f t="shared" si="2"/>
        <v>5486.8</v>
      </c>
      <c r="H116" s="27">
        <f t="shared" si="3"/>
        <v>3690.3834</v>
      </c>
    </row>
    <row r="117">
      <c r="A117" s="18" t="s">
        <v>2270</v>
      </c>
      <c r="B117" s="19" t="s">
        <v>1117</v>
      </c>
      <c r="C117" s="21">
        <v>143.0</v>
      </c>
      <c r="D117" s="22">
        <v>16.23</v>
      </c>
      <c r="E117" s="23">
        <v>10.5105</v>
      </c>
      <c r="F117" s="26">
        <f t="shared" si="1"/>
        <v>-5.7195</v>
      </c>
      <c r="G117" s="27">
        <f t="shared" si="2"/>
        <v>2320.89</v>
      </c>
      <c r="H117" s="27">
        <f t="shared" si="3"/>
        <v>1503.0015</v>
      </c>
    </row>
    <row r="118">
      <c r="A118" s="18" t="s">
        <v>2272</v>
      </c>
      <c r="B118" s="19" t="s">
        <v>2274</v>
      </c>
      <c r="C118" s="21">
        <v>191.0</v>
      </c>
      <c r="D118" s="22">
        <v>18.12</v>
      </c>
      <c r="E118" s="23">
        <v>12.2004</v>
      </c>
      <c r="F118" s="26">
        <f t="shared" si="1"/>
        <v>-5.9196</v>
      </c>
      <c r="G118" s="27">
        <f t="shared" si="2"/>
        <v>3460.92</v>
      </c>
      <c r="H118" s="27">
        <f t="shared" si="3"/>
        <v>2330.2764</v>
      </c>
    </row>
    <row r="119">
      <c r="A119" s="18" t="s">
        <v>2276</v>
      </c>
      <c r="B119" s="19" t="s">
        <v>2278</v>
      </c>
      <c r="C119" s="21">
        <v>270.0</v>
      </c>
      <c r="D119" s="22">
        <v>16.53</v>
      </c>
      <c r="E119" s="23">
        <v>10.4542</v>
      </c>
      <c r="F119" s="26">
        <f t="shared" si="1"/>
        <v>-6.0758</v>
      </c>
      <c r="G119" s="27">
        <f t="shared" si="2"/>
        <v>4463.1</v>
      </c>
      <c r="H119" s="27">
        <f t="shared" si="3"/>
        <v>2822.634</v>
      </c>
    </row>
    <row r="120">
      <c r="A120" s="18" t="s">
        <v>2280</v>
      </c>
      <c r="B120" s="19" t="s">
        <v>1532</v>
      </c>
      <c r="C120" s="21">
        <v>346.0</v>
      </c>
      <c r="D120" s="22">
        <v>16.27</v>
      </c>
      <c r="E120" s="23">
        <v>10.0002</v>
      </c>
      <c r="F120" s="26">
        <f t="shared" si="1"/>
        <v>-6.2698</v>
      </c>
      <c r="G120" s="27">
        <f t="shared" si="2"/>
        <v>5629.42</v>
      </c>
      <c r="H120" s="27">
        <f t="shared" si="3"/>
        <v>3460.0692</v>
      </c>
    </row>
    <row r="121">
      <c r="A121" s="18" t="s">
        <v>2285</v>
      </c>
      <c r="B121" s="19" t="s">
        <v>1742</v>
      </c>
      <c r="C121" s="21">
        <v>118.0</v>
      </c>
      <c r="D121" s="22">
        <v>20.92</v>
      </c>
      <c r="E121" s="23">
        <v>14.4911</v>
      </c>
      <c r="F121" s="26">
        <f t="shared" si="1"/>
        <v>-6.4289</v>
      </c>
      <c r="G121" s="27">
        <f t="shared" si="2"/>
        <v>2468.56</v>
      </c>
      <c r="H121" s="27">
        <f t="shared" si="3"/>
        <v>1709.9498</v>
      </c>
    </row>
    <row r="122">
      <c r="A122" s="18" t="s">
        <v>2286</v>
      </c>
      <c r="B122" s="19" t="s">
        <v>2287</v>
      </c>
      <c r="C122" s="21">
        <v>280.0</v>
      </c>
      <c r="D122" s="22">
        <v>14.42</v>
      </c>
      <c r="E122" s="23">
        <v>7.907</v>
      </c>
      <c r="F122" s="26">
        <f t="shared" si="1"/>
        <v>-6.513</v>
      </c>
      <c r="G122" s="27">
        <f t="shared" si="2"/>
        <v>4037.6</v>
      </c>
      <c r="H122" s="27">
        <f t="shared" si="3"/>
        <v>2213.96</v>
      </c>
    </row>
    <row r="123">
      <c r="A123" s="18" t="s">
        <v>2290</v>
      </c>
      <c r="B123" s="19" t="s">
        <v>2291</v>
      </c>
      <c r="C123" s="21">
        <v>368.0</v>
      </c>
      <c r="D123" s="22">
        <v>20.12</v>
      </c>
      <c r="E123" s="23">
        <v>13.2144</v>
      </c>
      <c r="F123" s="26">
        <f t="shared" si="1"/>
        <v>-6.9056</v>
      </c>
      <c r="G123" s="27">
        <f t="shared" si="2"/>
        <v>7404.16</v>
      </c>
      <c r="H123" s="27">
        <f t="shared" si="3"/>
        <v>4862.8992</v>
      </c>
    </row>
    <row r="124">
      <c r="A124" s="18" t="s">
        <v>2294</v>
      </c>
      <c r="B124" s="19" t="s">
        <v>2269</v>
      </c>
      <c r="C124" s="21">
        <v>178.0</v>
      </c>
      <c r="D124" s="22">
        <v>21.22</v>
      </c>
      <c r="E124" s="23">
        <v>14.2065</v>
      </c>
      <c r="F124" s="26">
        <f t="shared" si="1"/>
        <v>-7.0135</v>
      </c>
      <c r="G124" s="27">
        <f t="shared" si="2"/>
        <v>3777.16</v>
      </c>
      <c r="H124" s="27">
        <f t="shared" si="3"/>
        <v>2528.757</v>
      </c>
    </row>
    <row r="125">
      <c r="A125" s="18" t="s">
        <v>2295</v>
      </c>
      <c r="B125" s="19" t="s">
        <v>2296</v>
      </c>
      <c r="C125" s="21">
        <v>102.0</v>
      </c>
      <c r="D125" s="22">
        <v>16.03</v>
      </c>
      <c r="E125" s="23">
        <v>8.7991</v>
      </c>
      <c r="F125" s="26">
        <f t="shared" si="1"/>
        <v>-7.2309</v>
      </c>
      <c r="G125" s="27">
        <f t="shared" si="2"/>
        <v>1635.06</v>
      </c>
      <c r="H125" s="27">
        <f t="shared" si="3"/>
        <v>897.5082</v>
      </c>
    </row>
    <row r="126">
      <c r="A126" s="18" t="s">
        <v>2299</v>
      </c>
      <c r="B126" s="19" t="s">
        <v>81</v>
      </c>
      <c r="C126" s="21">
        <v>478.0</v>
      </c>
      <c r="D126" s="22">
        <v>25.92</v>
      </c>
      <c r="E126" s="23">
        <v>18.4145</v>
      </c>
      <c r="F126" s="26">
        <f t="shared" si="1"/>
        <v>-7.5055</v>
      </c>
      <c r="G126" s="27">
        <f t="shared" si="2"/>
        <v>12389.76</v>
      </c>
      <c r="H126" s="27">
        <f t="shared" si="3"/>
        <v>8802.131</v>
      </c>
    </row>
    <row r="127">
      <c r="A127" s="18" t="s">
        <v>2302</v>
      </c>
      <c r="B127" s="19" t="s">
        <v>809</v>
      </c>
      <c r="C127" s="21">
        <v>288.0</v>
      </c>
      <c r="D127" s="22">
        <v>22.38</v>
      </c>
      <c r="E127" s="23">
        <v>14.8071</v>
      </c>
      <c r="F127" s="26">
        <f t="shared" si="1"/>
        <v>-7.5729</v>
      </c>
      <c r="G127" s="27">
        <f t="shared" si="2"/>
        <v>6445.44</v>
      </c>
      <c r="H127" s="27">
        <f t="shared" si="3"/>
        <v>4264.4448</v>
      </c>
    </row>
    <row r="128">
      <c r="A128" s="18" t="s">
        <v>2306</v>
      </c>
      <c r="B128" s="19" t="s">
        <v>1804</v>
      </c>
      <c r="C128" s="21">
        <v>333.0</v>
      </c>
      <c r="D128" s="22">
        <v>25.28</v>
      </c>
      <c r="E128" s="23">
        <v>16.5819</v>
      </c>
      <c r="F128" s="26">
        <f t="shared" si="1"/>
        <v>-8.6981</v>
      </c>
      <c r="G128" s="27">
        <f t="shared" si="2"/>
        <v>8418.24</v>
      </c>
      <c r="H128" s="27">
        <f t="shared" si="3"/>
        <v>5521.7727</v>
      </c>
    </row>
    <row r="129">
      <c r="A129" s="18" t="s">
        <v>2307</v>
      </c>
      <c r="B129" s="19" t="s">
        <v>715</v>
      </c>
      <c r="C129" s="21">
        <v>306.0</v>
      </c>
      <c r="D129" s="22">
        <v>23.55</v>
      </c>
      <c r="E129" s="23">
        <v>14.7319</v>
      </c>
      <c r="F129" s="26">
        <f t="shared" si="1"/>
        <v>-8.8181</v>
      </c>
      <c r="G129" s="27">
        <f t="shared" si="2"/>
        <v>7206.3</v>
      </c>
      <c r="H129" s="27">
        <f t="shared" si="3"/>
        <v>4507.9614</v>
      </c>
    </row>
    <row r="130">
      <c r="A130" s="18" t="s">
        <v>2310</v>
      </c>
      <c r="B130" s="19" t="s">
        <v>221</v>
      </c>
      <c r="C130" s="21">
        <v>154.0</v>
      </c>
      <c r="D130" s="22">
        <v>21.35</v>
      </c>
      <c r="E130" s="23">
        <v>11.846</v>
      </c>
      <c r="F130" s="26">
        <f t="shared" si="1"/>
        <v>-9.504</v>
      </c>
      <c r="G130" s="27">
        <f t="shared" si="2"/>
        <v>3287.9</v>
      </c>
      <c r="H130" s="27">
        <f t="shared" si="3"/>
        <v>1824.284</v>
      </c>
    </row>
    <row r="131">
      <c r="A131" s="18" t="s">
        <v>2311</v>
      </c>
      <c r="B131" s="19" t="s">
        <v>2277</v>
      </c>
      <c r="C131" s="21">
        <v>544.0</v>
      </c>
      <c r="D131" s="22">
        <v>26.88</v>
      </c>
      <c r="E131" s="23">
        <v>17.1464</v>
      </c>
      <c r="F131" s="26">
        <f t="shared" si="1"/>
        <v>-9.7336</v>
      </c>
      <c r="G131" s="27">
        <f t="shared" si="2"/>
        <v>14622.72</v>
      </c>
      <c r="H131" s="27">
        <f t="shared" si="3"/>
        <v>9327.6416</v>
      </c>
    </row>
    <row r="132">
      <c r="A132" s="18" t="s">
        <v>2314</v>
      </c>
      <c r="B132" s="19" t="s">
        <v>2221</v>
      </c>
      <c r="C132" s="21">
        <v>419.0</v>
      </c>
      <c r="D132" s="22">
        <v>25.33</v>
      </c>
      <c r="E132" s="23">
        <v>14.1422</v>
      </c>
      <c r="F132" s="26">
        <f t="shared" si="1"/>
        <v>-11.1878</v>
      </c>
      <c r="G132" s="27">
        <f t="shared" si="2"/>
        <v>10613.27</v>
      </c>
      <c r="H132" s="27">
        <f t="shared" si="3"/>
        <v>5925.5818</v>
      </c>
    </row>
    <row r="133">
      <c r="A133" s="18" t="s">
        <v>2316</v>
      </c>
      <c r="B133" s="19" t="s">
        <v>2317</v>
      </c>
      <c r="C133" s="21">
        <v>293.0</v>
      </c>
      <c r="D133" s="22">
        <v>28.88</v>
      </c>
      <c r="E133" s="23">
        <v>16.037</v>
      </c>
      <c r="F133" s="26">
        <f t="shared" si="1"/>
        <v>-12.843</v>
      </c>
      <c r="G133" s="27">
        <f t="shared" si="2"/>
        <v>8461.84</v>
      </c>
      <c r="H133" s="27">
        <f t="shared" si="3"/>
        <v>4698.841</v>
      </c>
    </row>
    <row r="134">
      <c r="A134" s="18" t="s">
        <v>2319</v>
      </c>
      <c r="B134" s="19" t="s">
        <v>2300</v>
      </c>
      <c r="C134" s="21">
        <v>330.0</v>
      </c>
      <c r="D134" s="22">
        <v>21.52</v>
      </c>
      <c r="E134" s="23">
        <v>8.3254</v>
      </c>
      <c r="F134" s="26">
        <f t="shared" si="1"/>
        <v>-13.1946</v>
      </c>
      <c r="G134" s="27">
        <f t="shared" si="2"/>
        <v>7101.6</v>
      </c>
      <c r="H134" s="27">
        <f t="shared" si="3"/>
        <v>2747.382</v>
      </c>
    </row>
    <row r="135">
      <c r="A135" s="18" t="s">
        <v>2321</v>
      </c>
      <c r="B135" s="19" t="s">
        <v>2322</v>
      </c>
      <c r="C135" s="21">
        <v>556.0</v>
      </c>
      <c r="D135" s="22">
        <v>25.47</v>
      </c>
      <c r="E135" s="23">
        <v>11.8798</v>
      </c>
      <c r="F135" s="26">
        <f t="shared" si="1"/>
        <v>-13.5902</v>
      </c>
      <c r="G135" s="27">
        <f t="shared" si="2"/>
        <v>14161.32</v>
      </c>
      <c r="H135" s="27">
        <f t="shared" si="3"/>
        <v>6605.1688</v>
      </c>
    </row>
    <row r="136">
      <c r="A136" s="18" t="s">
        <v>2325</v>
      </c>
      <c r="B136" s="19" t="s">
        <v>2326</v>
      </c>
      <c r="C136" s="21">
        <v>257.0</v>
      </c>
      <c r="D136" s="22">
        <v>31.88</v>
      </c>
      <c r="E136" s="23">
        <v>16.9744</v>
      </c>
      <c r="F136" s="26">
        <f t="shared" si="1"/>
        <v>-14.9056</v>
      </c>
      <c r="G136" s="27">
        <f t="shared" si="2"/>
        <v>8193.16</v>
      </c>
      <c r="H136" s="27">
        <f t="shared" si="3"/>
        <v>4362.4208</v>
      </c>
    </row>
    <row r="137">
      <c r="A137" s="18" t="s">
        <v>2328</v>
      </c>
      <c r="B137" s="19" t="s">
        <v>1977</v>
      </c>
      <c r="C137" s="21">
        <v>354.0</v>
      </c>
      <c r="D137" s="22">
        <v>31.65</v>
      </c>
      <c r="E137" s="23">
        <v>14.4154</v>
      </c>
      <c r="F137" s="26">
        <f t="shared" si="1"/>
        <v>-17.2346</v>
      </c>
      <c r="G137" s="27">
        <f t="shared" si="2"/>
        <v>11204.1</v>
      </c>
      <c r="H137" s="27">
        <f t="shared" si="3"/>
        <v>5103.0516</v>
      </c>
    </row>
    <row r="138">
      <c r="A138" s="18" t="s">
        <v>2331</v>
      </c>
      <c r="B138" s="19" t="s">
        <v>1845</v>
      </c>
      <c r="C138" s="21">
        <v>620.0</v>
      </c>
      <c r="D138" s="22">
        <v>29.62</v>
      </c>
      <c r="E138" s="23">
        <v>12.0764</v>
      </c>
      <c r="F138" s="26">
        <f t="shared" si="1"/>
        <v>-17.5436</v>
      </c>
      <c r="G138" s="27">
        <f t="shared" si="2"/>
        <v>18364.4</v>
      </c>
      <c r="H138" s="27">
        <f t="shared" si="3"/>
        <v>7487.368</v>
      </c>
    </row>
    <row r="139">
      <c r="A139" s="18" t="s">
        <v>2334</v>
      </c>
      <c r="B139" s="19" t="s">
        <v>2335</v>
      </c>
      <c r="C139" s="21">
        <v>566.0</v>
      </c>
      <c r="D139" s="22">
        <v>12.45</v>
      </c>
      <c r="E139" s="22">
        <v>16.6602</v>
      </c>
      <c r="F139" s="16"/>
      <c r="G139" s="27">
        <f t="shared" si="2"/>
        <v>7046.7</v>
      </c>
      <c r="H139" s="27">
        <f t="shared" si="3"/>
        <v>9429.6732</v>
      </c>
    </row>
    <row r="140">
      <c r="A140" s="31"/>
      <c r="B140" s="39"/>
      <c r="C140" s="37">
        <f>SUM(C2:C139)</f>
        <v>45933</v>
      </c>
      <c r="D140" s="22"/>
      <c r="E140" s="40"/>
      <c r="F140" s="16"/>
      <c r="G140" s="27">
        <f t="shared" ref="G140:H140" si="4">SUM(G2:G139)</f>
        <v>601663.23</v>
      </c>
      <c r="H140" s="27">
        <f t="shared" si="4"/>
        <v>673037.4701</v>
      </c>
    </row>
    <row r="141">
      <c r="A141" s="31"/>
      <c r="B141" s="39"/>
      <c r="C141" s="37"/>
      <c r="D141" s="22"/>
      <c r="F141" s="16"/>
    </row>
    <row r="142">
      <c r="A142" s="31"/>
      <c r="B142" s="39"/>
      <c r="C142" s="37"/>
      <c r="D142" s="27"/>
      <c r="F142" s="16"/>
    </row>
    <row r="143">
      <c r="A143" s="31"/>
      <c r="B143" s="39"/>
      <c r="C143" s="37"/>
      <c r="D143" s="27"/>
      <c r="F143" s="16"/>
    </row>
    <row r="144">
      <c r="A144" s="31"/>
      <c r="B144" s="39"/>
      <c r="C144" s="37"/>
      <c r="D144" s="27"/>
      <c r="F144" s="16"/>
      <c r="G144" s="27"/>
      <c r="H144" s="27"/>
    </row>
    <row r="145">
      <c r="A145" s="31"/>
      <c r="B145" s="39"/>
      <c r="C145" s="37"/>
      <c r="D145" s="27"/>
      <c r="F145" s="16"/>
      <c r="G145" s="27"/>
      <c r="H145" s="27"/>
    </row>
    <row r="146">
      <c r="A146" s="31"/>
      <c r="B146" s="39"/>
      <c r="C146" s="37"/>
      <c r="D146" s="27"/>
      <c r="F146" s="16"/>
      <c r="G146" s="27"/>
      <c r="H146" s="27"/>
    </row>
    <row r="147">
      <c r="A147" s="31"/>
      <c r="B147" s="39"/>
      <c r="C147" s="37"/>
      <c r="D147" s="27"/>
      <c r="F147" s="16"/>
      <c r="G147" s="27"/>
      <c r="H147" s="27"/>
    </row>
    <row r="148">
      <c r="A148" s="31"/>
      <c r="B148" s="39"/>
      <c r="C148" s="37"/>
      <c r="D148" s="27"/>
      <c r="F148" s="16"/>
      <c r="G148" s="27"/>
      <c r="H148" s="27"/>
    </row>
    <row r="149">
      <c r="A149" s="31"/>
      <c r="B149" s="39"/>
      <c r="C149" s="37"/>
      <c r="D149" s="27"/>
      <c r="F149" s="16"/>
      <c r="G149" s="27"/>
      <c r="H149" s="27"/>
    </row>
    <row r="150">
      <c r="A150" s="31"/>
      <c r="B150" s="39"/>
      <c r="C150" s="37"/>
      <c r="D150" s="27"/>
      <c r="F150" s="16"/>
      <c r="G150" s="27"/>
      <c r="H150" s="27"/>
    </row>
    <row r="151">
      <c r="A151" s="31"/>
      <c r="B151" s="39"/>
      <c r="C151" s="37"/>
      <c r="D151" s="27"/>
      <c r="F151" s="16"/>
      <c r="G151" s="27"/>
      <c r="H151" s="27"/>
    </row>
    <row r="152">
      <c r="A152" s="31"/>
      <c r="B152" s="39"/>
      <c r="C152" s="37"/>
      <c r="D152" s="27"/>
      <c r="F152" s="16"/>
      <c r="G152" s="27"/>
      <c r="H152" s="27"/>
    </row>
    <row r="153">
      <c r="A153" s="31"/>
      <c r="B153" s="39"/>
      <c r="C153" s="37"/>
      <c r="D153" s="27"/>
      <c r="F153" s="16"/>
      <c r="G153" s="27"/>
      <c r="H153" s="27"/>
    </row>
    <row r="154">
      <c r="A154" s="31"/>
      <c r="B154" s="39"/>
      <c r="C154" s="37"/>
      <c r="D154" s="27"/>
      <c r="F154" s="16"/>
      <c r="G154" s="27"/>
      <c r="H154" s="27"/>
    </row>
    <row r="155">
      <c r="A155" s="31"/>
      <c r="B155" s="39"/>
      <c r="C155" s="37"/>
      <c r="D155" s="27"/>
      <c r="F155" s="16"/>
      <c r="G155" s="27"/>
      <c r="H155" s="27"/>
    </row>
    <row r="156">
      <c r="A156" s="31"/>
      <c r="B156" s="39"/>
      <c r="C156" s="37"/>
      <c r="D156" s="27"/>
      <c r="F156" s="16"/>
      <c r="G156" s="27"/>
      <c r="H156" s="27"/>
    </row>
    <row r="157">
      <c r="A157" s="31"/>
      <c r="B157" s="39"/>
      <c r="C157" s="37"/>
      <c r="D157" s="27"/>
      <c r="F157" s="16"/>
      <c r="G157" s="27"/>
      <c r="H157" s="27"/>
    </row>
    <row r="158">
      <c r="A158" s="31"/>
      <c r="B158" s="39"/>
      <c r="C158" s="37"/>
      <c r="D158" s="27"/>
      <c r="F158" s="16"/>
      <c r="G158" s="27"/>
      <c r="H158" s="27"/>
    </row>
    <row r="159">
      <c r="A159" s="31"/>
      <c r="B159" s="39"/>
      <c r="C159" s="37"/>
      <c r="D159" s="27"/>
      <c r="F159" s="16"/>
      <c r="G159" s="27"/>
      <c r="H159" s="27"/>
    </row>
    <row r="160">
      <c r="A160" s="31"/>
      <c r="B160" s="39"/>
      <c r="C160" s="37"/>
      <c r="D160" s="27"/>
      <c r="F160" s="16"/>
      <c r="G160" s="27"/>
      <c r="H160" s="27"/>
    </row>
    <row r="161">
      <c r="A161" s="31"/>
      <c r="B161" s="39"/>
      <c r="C161" s="37"/>
      <c r="D161" s="27"/>
      <c r="F161" s="16"/>
      <c r="G161" s="27"/>
      <c r="H161" s="27"/>
    </row>
    <row r="162">
      <c r="A162" s="31"/>
      <c r="B162" s="39"/>
      <c r="C162" s="37"/>
      <c r="D162" s="27"/>
      <c r="F162" s="16"/>
      <c r="G162" s="27"/>
      <c r="H162" s="27"/>
    </row>
    <row r="163">
      <c r="A163" s="31"/>
      <c r="B163" s="39"/>
      <c r="C163" s="37"/>
      <c r="D163" s="27"/>
      <c r="F163" s="16"/>
      <c r="G163" s="27"/>
      <c r="H163" s="27"/>
    </row>
    <row r="164">
      <c r="A164" s="31"/>
      <c r="B164" s="39"/>
      <c r="C164" s="37"/>
      <c r="D164" s="27"/>
      <c r="F164" s="16"/>
      <c r="G164" s="27"/>
      <c r="H164" s="27"/>
    </row>
    <row r="165">
      <c r="A165" s="31"/>
      <c r="B165" s="39"/>
      <c r="C165" s="37"/>
      <c r="D165" s="27"/>
      <c r="F165" s="16"/>
      <c r="G165" s="27"/>
      <c r="H165" s="27"/>
    </row>
    <row r="166">
      <c r="A166" s="31"/>
      <c r="B166" s="39"/>
      <c r="C166" s="37"/>
      <c r="D166" s="27"/>
      <c r="F166" s="16"/>
      <c r="G166" s="27"/>
      <c r="H166" s="27"/>
    </row>
    <row r="167">
      <c r="A167" s="31"/>
      <c r="B167" s="39"/>
      <c r="C167" s="37"/>
      <c r="D167" s="27"/>
      <c r="F167" s="16"/>
      <c r="G167" s="27"/>
      <c r="H167" s="27"/>
    </row>
    <row r="168">
      <c r="A168" s="31"/>
      <c r="B168" s="39"/>
      <c r="C168" s="37"/>
      <c r="D168" s="27"/>
      <c r="F168" s="16"/>
      <c r="G168" s="27"/>
      <c r="H168" s="27"/>
    </row>
    <row r="169">
      <c r="A169" s="31"/>
      <c r="B169" s="39"/>
      <c r="C169" s="37"/>
      <c r="D169" s="27"/>
      <c r="F169" s="16"/>
      <c r="G169" s="27"/>
      <c r="H169" s="27"/>
    </row>
    <row r="170">
      <c r="A170" s="31"/>
      <c r="B170" s="39"/>
      <c r="C170" s="37"/>
      <c r="D170" s="27"/>
      <c r="F170" s="16"/>
      <c r="G170" s="27"/>
      <c r="H170" s="27"/>
    </row>
    <row r="171">
      <c r="A171" s="31"/>
      <c r="B171" s="39"/>
      <c r="C171" s="37"/>
      <c r="D171" s="27"/>
      <c r="F171" s="16"/>
      <c r="G171" s="27"/>
      <c r="H171" s="27"/>
    </row>
    <row r="172">
      <c r="A172" s="31"/>
      <c r="B172" s="39"/>
      <c r="C172" s="37"/>
      <c r="D172" s="27"/>
      <c r="F172" s="16"/>
      <c r="G172" s="27"/>
      <c r="H172" s="27"/>
    </row>
    <row r="173">
      <c r="A173" s="31"/>
      <c r="B173" s="39"/>
      <c r="C173" s="37"/>
      <c r="D173" s="27"/>
      <c r="F173" s="16"/>
      <c r="G173" s="27"/>
      <c r="H173" s="27"/>
    </row>
    <row r="174">
      <c r="A174" s="31"/>
      <c r="B174" s="39"/>
      <c r="C174" s="37"/>
      <c r="D174" s="27"/>
      <c r="F174" s="16"/>
      <c r="G174" s="27"/>
      <c r="H174" s="27"/>
    </row>
    <row r="175">
      <c r="A175" s="31"/>
      <c r="B175" s="39"/>
      <c r="C175" s="37"/>
      <c r="D175" s="27"/>
      <c r="F175" s="16"/>
      <c r="G175" s="27"/>
      <c r="H175" s="27"/>
    </row>
    <row r="176">
      <c r="A176" s="31"/>
      <c r="B176" s="39"/>
      <c r="C176" s="37"/>
      <c r="D176" s="27"/>
      <c r="F176" s="16"/>
      <c r="G176" s="27"/>
      <c r="H176" s="27"/>
    </row>
    <row r="177">
      <c r="A177" s="31"/>
      <c r="B177" s="39"/>
      <c r="C177" s="37"/>
      <c r="D177" s="27"/>
      <c r="F177" s="16"/>
      <c r="G177" s="27"/>
      <c r="H177" s="27"/>
    </row>
    <row r="178">
      <c r="A178" s="31"/>
      <c r="B178" s="39"/>
      <c r="C178" s="37"/>
      <c r="D178" s="27"/>
      <c r="F178" s="16"/>
      <c r="G178" s="27"/>
      <c r="H178" s="27"/>
    </row>
    <row r="179">
      <c r="A179" s="31"/>
      <c r="B179" s="39"/>
      <c r="C179" s="37"/>
      <c r="D179" s="27"/>
      <c r="F179" s="16"/>
      <c r="G179" s="27"/>
      <c r="H179" s="27"/>
    </row>
    <row r="180">
      <c r="A180" s="31"/>
      <c r="B180" s="39"/>
      <c r="C180" s="37"/>
      <c r="D180" s="27"/>
      <c r="F180" s="16"/>
      <c r="G180" s="27"/>
      <c r="H180" s="27"/>
    </row>
    <row r="181">
      <c r="A181" s="31"/>
      <c r="B181" s="39"/>
      <c r="C181" s="37"/>
      <c r="D181" s="27"/>
      <c r="F181" s="16"/>
      <c r="G181" s="27"/>
      <c r="H181" s="27"/>
    </row>
    <row r="182">
      <c r="A182" s="31"/>
      <c r="B182" s="39"/>
      <c r="C182" s="37"/>
      <c r="D182" s="27"/>
      <c r="F182" s="16"/>
      <c r="G182" s="27"/>
      <c r="H182" s="27"/>
    </row>
    <row r="183">
      <c r="A183" s="31"/>
      <c r="B183" s="39"/>
      <c r="C183" s="37"/>
      <c r="D183" s="27"/>
      <c r="F183" s="16"/>
      <c r="G183" s="27"/>
      <c r="H183" s="27"/>
    </row>
    <row r="184">
      <c r="A184" s="31"/>
      <c r="B184" s="39"/>
      <c r="C184" s="37"/>
      <c r="D184" s="27"/>
      <c r="F184" s="16"/>
      <c r="G184" s="27"/>
      <c r="H184" s="27"/>
    </row>
    <row r="185">
      <c r="A185" s="31"/>
      <c r="B185" s="39"/>
      <c r="C185" s="37"/>
      <c r="D185" s="27"/>
      <c r="F185" s="16"/>
      <c r="G185" s="27"/>
      <c r="H185" s="27"/>
    </row>
    <row r="186">
      <c r="A186" s="31"/>
      <c r="B186" s="39"/>
      <c r="C186" s="37"/>
      <c r="D186" s="27"/>
      <c r="F186" s="16"/>
      <c r="G186" s="27"/>
      <c r="H186" s="27"/>
    </row>
    <row r="187">
      <c r="A187" s="31"/>
      <c r="B187" s="39"/>
      <c r="C187" s="37"/>
      <c r="D187" s="27"/>
      <c r="F187" s="16"/>
      <c r="G187" s="27"/>
      <c r="H187" s="27"/>
    </row>
    <row r="188">
      <c r="A188" s="31"/>
      <c r="B188" s="39"/>
      <c r="C188" s="37"/>
      <c r="D188" s="27"/>
      <c r="F188" s="16"/>
      <c r="G188" s="27"/>
      <c r="H188" s="27"/>
    </row>
    <row r="189">
      <c r="A189" s="31"/>
      <c r="B189" s="39"/>
      <c r="C189" s="37"/>
      <c r="D189" s="27"/>
      <c r="F189" s="16"/>
      <c r="G189" s="27"/>
      <c r="H189" s="27"/>
    </row>
    <row r="190">
      <c r="A190" s="31"/>
      <c r="B190" s="39"/>
      <c r="C190" s="37"/>
      <c r="D190" s="27"/>
      <c r="F190" s="16"/>
      <c r="G190" s="27"/>
      <c r="H190" s="27"/>
    </row>
    <row r="191">
      <c r="A191" s="31"/>
      <c r="B191" s="39"/>
      <c r="C191" s="37"/>
      <c r="D191" s="27"/>
      <c r="F191" s="16"/>
      <c r="G191" s="27"/>
      <c r="H191" s="27"/>
    </row>
    <row r="192">
      <c r="A192" s="31"/>
      <c r="B192" s="39"/>
      <c r="C192" s="37"/>
      <c r="D192" s="27"/>
      <c r="F192" s="16"/>
      <c r="G192" s="27"/>
      <c r="H192" s="27"/>
    </row>
    <row r="193">
      <c r="A193" s="31"/>
      <c r="B193" s="39"/>
      <c r="C193" s="37"/>
      <c r="D193" s="27"/>
      <c r="F193" s="16"/>
      <c r="G193" s="27"/>
      <c r="H193" s="27"/>
    </row>
    <row r="194">
      <c r="A194" s="31"/>
      <c r="B194" s="39"/>
      <c r="C194" s="37"/>
      <c r="D194" s="27"/>
      <c r="F194" s="16"/>
      <c r="G194" s="27"/>
      <c r="H194" s="27"/>
    </row>
    <row r="195">
      <c r="A195" s="31"/>
      <c r="B195" s="39"/>
      <c r="C195" s="37"/>
      <c r="D195" s="27"/>
      <c r="F195" s="16"/>
      <c r="G195" s="27"/>
      <c r="H195" s="27"/>
    </row>
    <row r="196">
      <c r="A196" s="31"/>
      <c r="B196" s="39"/>
      <c r="C196" s="37"/>
      <c r="D196" s="27"/>
      <c r="F196" s="16"/>
      <c r="G196" s="27"/>
      <c r="H196" s="27"/>
    </row>
    <row r="197">
      <c r="A197" s="31"/>
      <c r="B197" s="39"/>
      <c r="C197" s="37"/>
      <c r="D197" s="27"/>
      <c r="F197" s="16"/>
      <c r="G197" s="27"/>
      <c r="H197" s="27"/>
    </row>
    <row r="198">
      <c r="A198" s="31"/>
      <c r="B198" s="39"/>
      <c r="C198" s="37"/>
      <c r="D198" s="27"/>
      <c r="F198" s="16"/>
      <c r="G198" s="27"/>
      <c r="H198" s="27"/>
    </row>
    <row r="199">
      <c r="A199" s="31"/>
      <c r="B199" s="39"/>
      <c r="C199" s="37"/>
      <c r="D199" s="27"/>
      <c r="F199" s="16"/>
      <c r="G199" s="27"/>
      <c r="H199" s="27"/>
    </row>
    <row r="200">
      <c r="A200" s="31"/>
      <c r="B200" s="39"/>
      <c r="C200" s="37"/>
      <c r="D200" s="27"/>
      <c r="F200" s="16"/>
      <c r="G200" s="27"/>
      <c r="H200" s="27"/>
    </row>
    <row r="201">
      <c r="A201" s="31"/>
      <c r="B201" s="39"/>
      <c r="C201" s="37"/>
      <c r="D201" s="27"/>
      <c r="F201" s="16"/>
      <c r="G201" s="27"/>
      <c r="H201" s="27"/>
    </row>
    <row r="202">
      <c r="A202" s="31"/>
      <c r="B202" s="39"/>
      <c r="C202" s="37"/>
      <c r="D202" s="27"/>
      <c r="F202" s="16"/>
      <c r="G202" s="27"/>
      <c r="H202" s="27"/>
    </row>
    <row r="203">
      <c r="A203" s="31"/>
      <c r="B203" s="39"/>
      <c r="C203" s="37"/>
      <c r="D203" s="27"/>
      <c r="F203" s="16"/>
      <c r="G203" s="27"/>
      <c r="H203" s="27"/>
    </row>
    <row r="204">
      <c r="A204" s="31"/>
      <c r="B204" s="39"/>
      <c r="C204" s="37"/>
      <c r="D204" s="27"/>
      <c r="F204" s="16"/>
      <c r="G204" s="27"/>
      <c r="H204" s="27"/>
    </row>
    <row r="205">
      <c r="A205" s="31"/>
      <c r="B205" s="39"/>
      <c r="C205" s="37"/>
      <c r="D205" s="27"/>
      <c r="F205" s="16"/>
      <c r="G205" s="27"/>
      <c r="H205" s="27"/>
    </row>
    <row r="206">
      <c r="A206" s="31"/>
      <c r="B206" s="39"/>
      <c r="C206" s="37"/>
      <c r="D206" s="27"/>
      <c r="F206" s="16"/>
      <c r="G206" s="27"/>
      <c r="H206" s="27"/>
    </row>
    <row r="207">
      <c r="A207" s="31"/>
      <c r="B207" s="39"/>
      <c r="C207" s="37"/>
      <c r="D207" s="27"/>
      <c r="F207" s="16"/>
      <c r="G207" s="27"/>
      <c r="H207" s="27"/>
    </row>
    <row r="208">
      <c r="A208" s="31"/>
      <c r="B208" s="39"/>
      <c r="C208" s="37"/>
      <c r="D208" s="27"/>
      <c r="F208" s="16"/>
      <c r="G208" s="27"/>
      <c r="H208" s="27"/>
    </row>
    <row r="209">
      <c r="A209" s="31"/>
      <c r="B209" s="39"/>
      <c r="C209" s="37"/>
      <c r="D209" s="27"/>
      <c r="F209" s="16"/>
      <c r="G209" s="27"/>
      <c r="H209" s="27"/>
    </row>
    <row r="210">
      <c r="A210" s="31"/>
      <c r="B210" s="39"/>
      <c r="C210" s="37"/>
      <c r="D210" s="27"/>
      <c r="F210" s="16"/>
      <c r="G210" s="27"/>
      <c r="H210" s="27"/>
    </row>
    <row r="211">
      <c r="A211" s="31"/>
      <c r="B211" s="39"/>
      <c r="C211" s="37"/>
      <c r="D211" s="27"/>
      <c r="F211" s="16"/>
      <c r="G211" s="27"/>
      <c r="H211" s="27"/>
    </row>
    <row r="212">
      <c r="A212" s="31"/>
      <c r="B212" s="39"/>
      <c r="C212" s="37"/>
      <c r="D212" s="27"/>
      <c r="F212" s="16"/>
      <c r="G212" s="27"/>
      <c r="H212" s="27"/>
    </row>
    <row r="213">
      <c r="A213" s="31"/>
      <c r="B213" s="39"/>
      <c r="C213" s="37"/>
      <c r="D213" s="27"/>
      <c r="F213" s="16"/>
      <c r="G213" s="27"/>
      <c r="H213" s="27"/>
    </row>
    <row r="214">
      <c r="A214" s="31"/>
      <c r="B214" s="39"/>
      <c r="C214" s="37"/>
      <c r="D214" s="27"/>
      <c r="F214" s="16"/>
      <c r="G214" s="27"/>
      <c r="H214" s="27"/>
    </row>
    <row r="215">
      <c r="A215" s="31"/>
      <c r="B215" s="39"/>
      <c r="C215" s="37"/>
      <c r="D215" s="27"/>
      <c r="F215" s="16"/>
      <c r="G215" s="27"/>
      <c r="H215" s="27"/>
    </row>
    <row r="216">
      <c r="A216" s="31"/>
      <c r="B216" s="39"/>
      <c r="C216" s="37"/>
      <c r="D216" s="27"/>
      <c r="F216" s="16"/>
      <c r="G216" s="27"/>
      <c r="H216" s="27"/>
    </row>
    <row r="217">
      <c r="A217" s="31"/>
      <c r="B217" s="39"/>
      <c r="C217" s="37"/>
      <c r="D217" s="27"/>
      <c r="F217" s="16"/>
      <c r="G217" s="27"/>
      <c r="H217" s="27"/>
    </row>
    <row r="218">
      <c r="A218" s="31"/>
      <c r="B218" s="39"/>
      <c r="C218" s="37"/>
      <c r="D218" s="27"/>
      <c r="F218" s="16"/>
      <c r="G218" s="27"/>
      <c r="H218" s="27"/>
    </row>
    <row r="219">
      <c r="A219" s="31"/>
      <c r="B219" s="39"/>
      <c r="C219" s="37"/>
      <c r="D219" s="27"/>
      <c r="F219" s="16"/>
      <c r="G219" s="27"/>
      <c r="H219" s="27"/>
    </row>
    <row r="220">
      <c r="A220" s="31"/>
      <c r="B220" s="39"/>
      <c r="C220" s="37"/>
      <c r="D220" s="27"/>
      <c r="F220" s="16"/>
      <c r="G220" s="27"/>
      <c r="H220" s="27"/>
    </row>
    <row r="221">
      <c r="A221" s="31"/>
      <c r="B221" s="39"/>
      <c r="C221" s="37"/>
      <c r="D221" s="27"/>
      <c r="F221" s="16"/>
      <c r="G221" s="27"/>
      <c r="H221" s="27"/>
    </row>
    <row r="222">
      <c r="A222" s="31"/>
      <c r="B222" s="39"/>
      <c r="C222" s="37"/>
      <c r="D222" s="27"/>
      <c r="F222" s="16"/>
      <c r="G222" s="27"/>
      <c r="H222" s="27"/>
    </row>
    <row r="223">
      <c r="A223" s="31"/>
      <c r="B223" s="39"/>
      <c r="C223" s="37"/>
      <c r="D223" s="27"/>
      <c r="F223" s="16"/>
      <c r="G223" s="27"/>
      <c r="H223" s="27"/>
    </row>
    <row r="224">
      <c r="A224" s="31"/>
      <c r="B224" s="39"/>
      <c r="C224" s="37"/>
      <c r="D224" s="27"/>
      <c r="F224" s="16"/>
      <c r="G224" s="27"/>
      <c r="H224" s="27"/>
    </row>
    <row r="225">
      <c r="A225" s="31"/>
      <c r="B225" s="39"/>
      <c r="C225" s="37"/>
      <c r="D225" s="27"/>
      <c r="F225" s="16"/>
      <c r="G225" s="27"/>
      <c r="H225" s="27"/>
    </row>
    <row r="226">
      <c r="A226" s="31"/>
      <c r="B226" s="39"/>
      <c r="C226" s="37"/>
      <c r="D226" s="27"/>
      <c r="F226" s="16"/>
      <c r="G226" s="27"/>
      <c r="H226" s="27"/>
    </row>
    <row r="227">
      <c r="A227" s="31"/>
      <c r="B227" s="39"/>
      <c r="C227" s="37"/>
      <c r="D227" s="27"/>
      <c r="F227" s="16"/>
      <c r="G227" s="27"/>
      <c r="H227" s="27"/>
    </row>
    <row r="228">
      <c r="A228" s="31"/>
      <c r="B228" s="39"/>
      <c r="C228" s="37"/>
      <c r="D228" s="27"/>
      <c r="F228" s="16"/>
      <c r="G228" s="27"/>
      <c r="H228" s="27"/>
    </row>
    <row r="229">
      <c r="A229" s="31"/>
      <c r="B229" s="39"/>
      <c r="C229" s="37"/>
      <c r="D229" s="27"/>
      <c r="F229" s="16"/>
      <c r="G229" s="27"/>
      <c r="H229" s="27"/>
    </row>
    <row r="230">
      <c r="A230" s="31"/>
      <c r="B230" s="39"/>
      <c r="C230" s="37"/>
      <c r="D230" s="27"/>
      <c r="F230" s="16"/>
      <c r="G230" s="27"/>
      <c r="H230" s="27"/>
    </row>
    <row r="231">
      <c r="A231" s="31"/>
      <c r="B231" s="39"/>
      <c r="C231" s="37"/>
      <c r="D231" s="27"/>
      <c r="F231" s="16"/>
      <c r="G231" s="27"/>
      <c r="H231" s="27"/>
    </row>
    <row r="232">
      <c r="A232" s="31"/>
      <c r="B232" s="39"/>
      <c r="C232" s="37"/>
      <c r="D232" s="27"/>
      <c r="F232" s="16"/>
      <c r="G232" s="27"/>
      <c r="H232" s="27"/>
    </row>
    <row r="233">
      <c r="A233" s="31"/>
      <c r="B233" s="39"/>
      <c r="C233" s="37"/>
      <c r="D233" s="27"/>
      <c r="F233" s="16"/>
      <c r="G233" s="27"/>
      <c r="H233" s="27"/>
    </row>
    <row r="234">
      <c r="A234" s="31"/>
      <c r="B234" s="39"/>
      <c r="C234" s="37"/>
      <c r="D234" s="27"/>
      <c r="F234" s="16"/>
      <c r="G234" s="27"/>
      <c r="H234" s="27"/>
    </row>
    <row r="235">
      <c r="A235" s="31"/>
      <c r="B235" s="39"/>
      <c r="C235" s="37"/>
      <c r="D235" s="27"/>
      <c r="F235" s="16"/>
      <c r="G235" s="27"/>
      <c r="H235" s="27"/>
    </row>
    <row r="236">
      <c r="A236" s="31"/>
      <c r="B236" s="39"/>
      <c r="C236" s="37"/>
      <c r="D236" s="27"/>
      <c r="F236" s="16"/>
      <c r="G236" s="27"/>
      <c r="H236" s="27"/>
    </row>
    <row r="237">
      <c r="A237" s="31"/>
      <c r="B237" s="39"/>
      <c r="C237" s="37"/>
      <c r="D237" s="27"/>
      <c r="F237" s="16"/>
      <c r="G237" s="27"/>
      <c r="H237" s="27"/>
    </row>
    <row r="238">
      <c r="A238" s="31"/>
      <c r="B238" s="39"/>
      <c r="C238" s="37"/>
      <c r="D238" s="27"/>
      <c r="F238" s="16"/>
      <c r="G238" s="27"/>
      <c r="H238" s="27"/>
    </row>
    <row r="239">
      <c r="A239" s="31"/>
      <c r="B239" s="39"/>
      <c r="C239" s="37"/>
      <c r="D239" s="27"/>
      <c r="F239" s="16"/>
      <c r="G239" s="27"/>
      <c r="H239" s="27"/>
    </row>
    <row r="240">
      <c r="A240" s="31"/>
      <c r="B240" s="39"/>
      <c r="C240" s="37"/>
      <c r="D240" s="27"/>
      <c r="F240" s="16"/>
      <c r="G240" s="27"/>
      <c r="H240" s="27"/>
    </row>
    <row r="241">
      <c r="A241" s="31"/>
      <c r="B241" s="39"/>
      <c r="C241" s="37"/>
      <c r="D241" s="27"/>
      <c r="F241" s="16"/>
      <c r="G241" s="27"/>
      <c r="H241" s="27"/>
    </row>
    <row r="242">
      <c r="A242" s="31"/>
      <c r="B242" s="39"/>
      <c r="C242" s="37"/>
      <c r="D242" s="27"/>
      <c r="F242" s="16"/>
      <c r="G242" s="27"/>
      <c r="H242" s="27"/>
    </row>
    <row r="243">
      <c r="A243" s="31"/>
      <c r="B243" s="39"/>
      <c r="C243" s="37"/>
      <c r="D243" s="27"/>
      <c r="F243" s="16"/>
      <c r="G243" s="27"/>
      <c r="H243" s="27"/>
    </row>
    <row r="244">
      <c r="A244" s="31"/>
      <c r="B244" s="39"/>
      <c r="C244" s="37"/>
      <c r="D244" s="27"/>
      <c r="F244" s="16"/>
      <c r="G244" s="27"/>
      <c r="H244" s="27"/>
    </row>
    <row r="245">
      <c r="A245" s="31"/>
      <c r="B245" s="39"/>
      <c r="C245" s="37"/>
      <c r="D245" s="27"/>
      <c r="F245" s="16"/>
      <c r="G245" s="27"/>
      <c r="H245" s="27"/>
    </row>
    <row r="246">
      <c r="A246" s="31"/>
      <c r="B246" s="39"/>
      <c r="C246" s="37"/>
      <c r="D246" s="27"/>
      <c r="F246" s="16"/>
      <c r="G246" s="27"/>
      <c r="H246" s="27"/>
    </row>
    <row r="247">
      <c r="A247" s="31"/>
      <c r="B247" s="39"/>
      <c r="C247" s="37"/>
      <c r="D247" s="27"/>
      <c r="F247" s="16"/>
      <c r="G247" s="27"/>
      <c r="H247" s="27"/>
    </row>
    <row r="248">
      <c r="A248" s="31"/>
      <c r="B248" s="39"/>
      <c r="C248" s="37"/>
      <c r="D248" s="27"/>
      <c r="F248" s="16"/>
      <c r="G248" s="27"/>
      <c r="H248" s="27"/>
    </row>
    <row r="249">
      <c r="A249" s="31"/>
      <c r="B249" s="39"/>
      <c r="C249" s="37"/>
      <c r="D249" s="27"/>
      <c r="F249" s="16"/>
      <c r="G249" s="27"/>
      <c r="H249" s="27"/>
    </row>
    <row r="250">
      <c r="A250" s="31"/>
      <c r="B250" s="39"/>
      <c r="C250" s="37"/>
      <c r="D250" s="27"/>
      <c r="F250" s="16"/>
      <c r="G250" s="27"/>
      <c r="H250" s="27"/>
    </row>
    <row r="251">
      <c r="A251" s="31"/>
      <c r="B251" s="39"/>
      <c r="C251" s="37"/>
      <c r="D251" s="27"/>
      <c r="F251" s="16"/>
      <c r="G251" s="27"/>
      <c r="H251" s="27"/>
    </row>
    <row r="252">
      <c r="A252" s="31"/>
      <c r="B252" s="39"/>
      <c r="C252" s="37"/>
      <c r="D252" s="27"/>
      <c r="F252" s="16"/>
      <c r="G252" s="27"/>
      <c r="H252" s="27"/>
    </row>
    <row r="253">
      <c r="A253" s="31"/>
      <c r="B253" s="39"/>
      <c r="C253" s="37"/>
      <c r="D253" s="27"/>
      <c r="F253" s="16"/>
      <c r="G253" s="27"/>
      <c r="H253" s="27"/>
    </row>
    <row r="254">
      <c r="A254" s="31"/>
      <c r="B254" s="39"/>
      <c r="C254" s="37"/>
      <c r="D254" s="27"/>
      <c r="F254" s="16"/>
      <c r="G254" s="27"/>
      <c r="H254" s="27"/>
    </row>
    <row r="255">
      <c r="A255" s="31"/>
      <c r="B255" s="39"/>
      <c r="C255" s="37"/>
      <c r="D255" s="27"/>
      <c r="F255" s="16"/>
      <c r="G255" s="27"/>
      <c r="H255" s="27"/>
    </row>
    <row r="256">
      <c r="A256" s="31"/>
      <c r="B256" s="39"/>
      <c r="C256" s="37"/>
      <c r="D256" s="27"/>
      <c r="F256" s="16"/>
      <c r="G256" s="27"/>
      <c r="H256" s="27"/>
    </row>
    <row r="257">
      <c r="A257" s="31"/>
      <c r="B257" s="39"/>
      <c r="C257" s="37"/>
      <c r="D257" s="27"/>
      <c r="F257" s="16"/>
      <c r="G257" s="27"/>
      <c r="H257" s="27"/>
    </row>
    <row r="258">
      <c r="A258" s="31"/>
      <c r="B258" s="39"/>
      <c r="C258" s="37"/>
      <c r="D258" s="27"/>
      <c r="F258" s="16"/>
      <c r="G258" s="27"/>
      <c r="H258" s="27"/>
    </row>
    <row r="259">
      <c r="A259" s="31"/>
      <c r="B259" s="39"/>
      <c r="C259" s="37"/>
      <c r="D259" s="27"/>
      <c r="F259" s="16"/>
      <c r="G259" s="27"/>
      <c r="H259" s="27"/>
    </row>
    <row r="260">
      <c r="A260" s="31"/>
      <c r="B260" s="39"/>
      <c r="C260" s="37"/>
      <c r="D260" s="27"/>
      <c r="F260" s="16"/>
      <c r="G260" s="27"/>
      <c r="H260" s="27"/>
    </row>
    <row r="261">
      <c r="A261" s="31"/>
      <c r="B261" s="39"/>
      <c r="C261" s="37"/>
      <c r="D261" s="27"/>
      <c r="F261" s="16"/>
      <c r="G261" s="27"/>
      <c r="H261" s="27"/>
    </row>
    <row r="262">
      <c r="A262" s="31"/>
      <c r="B262" s="39"/>
      <c r="C262" s="37"/>
      <c r="D262" s="27"/>
      <c r="F262" s="16"/>
      <c r="G262" s="27"/>
      <c r="H262" s="27"/>
    </row>
    <row r="263">
      <c r="A263" s="31"/>
      <c r="B263" s="39"/>
      <c r="C263" s="37"/>
      <c r="D263" s="27"/>
      <c r="F263" s="16"/>
      <c r="G263" s="27"/>
      <c r="H263" s="27"/>
    </row>
    <row r="264">
      <c r="A264" s="31"/>
      <c r="B264" s="39"/>
      <c r="C264" s="37"/>
      <c r="D264" s="27"/>
      <c r="F264" s="16"/>
      <c r="G264" s="27"/>
      <c r="H264" s="27"/>
    </row>
    <row r="265">
      <c r="A265" s="31"/>
      <c r="B265" s="39"/>
      <c r="C265" s="37"/>
      <c r="D265" s="27"/>
      <c r="F265" s="16"/>
      <c r="G265" s="27"/>
      <c r="H265" s="27"/>
    </row>
    <row r="266">
      <c r="A266" s="31"/>
      <c r="B266" s="39"/>
      <c r="C266" s="37"/>
      <c r="D266" s="27"/>
      <c r="F266" s="16"/>
      <c r="G266" s="27"/>
      <c r="H266" s="27"/>
    </row>
    <row r="267">
      <c r="A267" s="31"/>
      <c r="B267" s="39"/>
      <c r="C267" s="37"/>
      <c r="D267" s="27"/>
      <c r="F267" s="16"/>
      <c r="G267" s="27"/>
      <c r="H267" s="27"/>
    </row>
    <row r="268">
      <c r="A268" s="31"/>
      <c r="B268" s="39"/>
      <c r="C268" s="37"/>
      <c r="D268" s="27"/>
      <c r="F268" s="16"/>
      <c r="G268" s="27"/>
      <c r="H268" s="27"/>
    </row>
    <row r="269">
      <c r="A269" s="31"/>
      <c r="B269" s="39"/>
      <c r="C269" s="37"/>
      <c r="D269" s="27"/>
      <c r="F269" s="16"/>
      <c r="G269" s="27"/>
      <c r="H269" s="27"/>
    </row>
    <row r="270">
      <c r="A270" s="31"/>
      <c r="B270" s="39"/>
      <c r="C270" s="37"/>
      <c r="D270" s="27"/>
      <c r="F270" s="16"/>
      <c r="G270" s="27"/>
      <c r="H270" s="27"/>
    </row>
    <row r="271">
      <c r="A271" s="31"/>
      <c r="B271" s="39"/>
      <c r="C271" s="37"/>
      <c r="D271" s="27"/>
      <c r="F271" s="16"/>
      <c r="G271" s="27"/>
      <c r="H271" s="27"/>
    </row>
    <row r="272">
      <c r="A272" s="31"/>
      <c r="B272" s="39"/>
      <c r="C272" s="37"/>
      <c r="D272" s="27"/>
      <c r="F272" s="16"/>
      <c r="G272" s="27"/>
      <c r="H272" s="27"/>
    </row>
    <row r="273">
      <c r="A273" s="31"/>
      <c r="B273" s="39"/>
      <c r="C273" s="37"/>
      <c r="D273" s="27"/>
      <c r="F273" s="16"/>
      <c r="G273" s="27"/>
      <c r="H273" s="27"/>
    </row>
    <row r="274">
      <c r="A274" s="31"/>
      <c r="B274" s="39"/>
      <c r="C274" s="37"/>
      <c r="D274" s="27"/>
      <c r="F274" s="16"/>
      <c r="G274" s="27"/>
      <c r="H274" s="27"/>
    </row>
    <row r="275">
      <c r="A275" s="31"/>
      <c r="B275" s="39"/>
      <c r="C275" s="37"/>
      <c r="D275" s="27"/>
      <c r="F275" s="16"/>
      <c r="G275" s="27"/>
      <c r="H275" s="27"/>
    </row>
    <row r="276">
      <c r="A276" s="31"/>
      <c r="B276" s="39"/>
      <c r="C276" s="37"/>
      <c r="D276" s="27"/>
      <c r="F276" s="16"/>
      <c r="G276" s="27"/>
      <c r="H276" s="27"/>
    </row>
    <row r="277">
      <c r="A277" s="31"/>
      <c r="B277" s="39"/>
      <c r="C277" s="37"/>
      <c r="D277" s="27"/>
      <c r="F277" s="16"/>
      <c r="G277" s="27"/>
      <c r="H277" s="27"/>
    </row>
    <row r="278">
      <c r="A278" s="31"/>
      <c r="B278" s="39"/>
      <c r="C278" s="37"/>
      <c r="D278" s="27"/>
      <c r="F278" s="16"/>
      <c r="G278" s="27"/>
      <c r="H278" s="27"/>
    </row>
    <row r="279">
      <c r="A279" s="31"/>
      <c r="B279" s="39"/>
      <c r="C279" s="37"/>
      <c r="D279" s="27"/>
      <c r="F279" s="16"/>
      <c r="G279" s="27"/>
      <c r="H279" s="27"/>
    </row>
    <row r="280">
      <c r="A280" s="31"/>
      <c r="B280" s="39"/>
      <c r="C280" s="37"/>
      <c r="D280" s="27"/>
      <c r="F280" s="16"/>
      <c r="G280" s="27"/>
      <c r="H280" s="27"/>
    </row>
    <row r="281">
      <c r="A281" s="31"/>
      <c r="B281" s="39"/>
      <c r="C281" s="37"/>
      <c r="D281" s="27"/>
      <c r="F281" s="16"/>
      <c r="G281" s="27"/>
      <c r="H281" s="27"/>
    </row>
    <row r="282">
      <c r="A282" s="31"/>
      <c r="B282" s="39"/>
      <c r="C282" s="37"/>
      <c r="D282" s="27"/>
      <c r="F282" s="16"/>
      <c r="G282" s="27"/>
      <c r="H282" s="27"/>
    </row>
    <row r="283">
      <c r="A283" s="31"/>
      <c r="B283" s="39"/>
      <c r="C283" s="37"/>
      <c r="D283" s="27"/>
      <c r="F283" s="16"/>
      <c r="G283" s="27"/>
      <c r="H283" s="27"/>
    </row>
    <row r="284">
      <c r="A284" s="31"/>
      <c r="B284" s="39"/>
      <c r="C284" s="37"/>
      <c r="D284" s="27"/>
      <c r="F284" s="16"/>
      <c r="G284" s="27"/>
      <c r="H284" s="27"/>
    </row>
    <row r="285">
      <c r="A285" s="31"/>
      <c r="B285" s="39"/>
      <c r="C285" s="37"/>
      <c r="D285" s="27"/>
      <c r="F285" s="16"/>
      <c r="G285" s="27"/>
      <c r="H285" s="27"/>
    </row>
    <row r="286">
      <c r="A286" s="31"/>
      <c r="B286" s="39"/>
      <c r="C286" s="37"/>
      <c r="D286" s="27"/>
      <c r="F286" s="16"/>
      <c r="G286" s="27"/>
      <c r="H286" s="27"/>
    </row>
    <row r="287">
      <c r="A287" s="31"/>
      <c r="B287" s="39"/>
      <c r="C287" s="37"/>
      <c r="D287" s="27"/>
      <c r="F287" s="16"/>
      <c r="G287" s="27"/>
      <c r="H287" s="27"/>
    </row>
    <row r="288">
      <c r="A288" s="31"/>
      <c r="B288" s="39"/>
      <c r="C288" s="37"/>
      <c r="D288" s="27"/>
      <c r="F288" s="16"/>
      <c r="G288" s="27"/>
      <c r="H288" s="27"/>
    </row>
    <row r="289">
      <c r="A289" s="31"/>
      <c r="B289" s="39"/>
      <c r="C289" s="37"/>
      <c r="D289" s="27"/>
      <c r="F289" s="16"/>
      <c r="G289" s="27"/>
      <c r="H289" s="27"/>
    </row>
    <row r="290">
      <c r="A290" s="31"/>
      <c r="B290" s="39"/>
      <c r="C290" s="37"/>
      <c r="D290" s="27"/>
      <c r="F290" s="16"/>
      <c r="G290" s="27"/>
      <c r="H290" s="27"/>
    </row>
    <row r="291">
      <c r="A291" s="31"/>
      <c r="B291" s="39"/>
      <c r="C291" s="37"/>
      <c r="D291" s="27"/>
      <c r="F291" s="16"/>
      <c r="G291" s="27"/>
      <c r="H291" s="27"/>
    </row>
    <row r="292">
      <c r="A292" s="31"/>
      <c r="B292" s="39"/>
      <c r="C292" s="37"/>
      <c r="D292" s="27"/>
      <c r="F292" s="16"/>
      <c r="G292" s="27"/>
      <c r="H292" s="27"/>
    </row>
    <row r="293">
      <c r="A293" s="31"/>
      <c r="B293" s="39"/>
      <c r="C293" s="37"/>
      <c r="D293" s="27"/>
      <c r="F293" s="16"/>
      <c r="G293" s="27"/>
      <c r="H293" s="27"/>
    </row>
    <row r="294">
      <c r="A294" s="31"/>
      <c r="B294" s="39"/>
      <c r="C294" s="37"/>
      <c r="D294" s="27"/>
      <c r="F294" s="16"/>
      <c r="G294" s="27"/>
      <c r="H294" s="27"/>
    </row>
    <row r="295">
      <c r="A295" s="31"/>
      <c r="B295" s="39"/>
      <c r="C295" s="37"/>
      <c r="D295" s="27"/>
      <c r="F295" s="16"/>
      <c r="G295" s="27"/>
      <c r="H295" s="27"/>
    </row>
    <row r="296">
      <c r="A296" s="31"/>
      <c r="B296" s="39"/>
      <c r="C296" s="37"/>
      <c r="D296" s="27"/>
      <c r="F296" s="16"/>
      <c r="G296" s="27"/>
      <c r="H296" s="27"/>
    </row>
    <row r="297">
      <c r="A297" s="31"/>
      <c r="B297" s="39"/>
      <c r="C297" s="37"/>
      <c r="D297" s="27"/>
      <c r="F297" s="16"/>
      <c r="G297" s="27"/>
      <c r="H297" s="27"/>
    </row>
    <row r="298">
      <c r="A298" s="31"/>
      <c r="B298" s="39"/>
      <c r="C298" s="37"/>
      <c r="D298" s="27"/>
      <c r="F298" s="16"/>
      <c r="G298" s="27"/>
      <c r="H298" s="27"/>
    </row>
    <row r="299">
      <c r="A299" s="31"/>
      <c r="B299" s="39"/>
      <c r="C299" s="37"/>
      <c r="D299" s="27"/>
      <c r="F299" s="16"/>
      <c r="G299" s="27"/>
      <c r="H299" s="27"/>
    </row>
    <row r="300">
      <c r="A300" s="31"/>
      <c r="B300" s="39"/>
      <c r="C300" s="37"/>
      <c r="D300" s="27"/>
      <c r="F300" s="16"/>
      <c r="G300" s="27"/>
      <c r="H300" s="27"/>
    </row>
    <row r="301">
      <c r="A301" s="31"/>
      <c r="B301" s="39"/>
      <c r="C301" s="37"/>
      <c r="D301" s="27"/>
      <c r="F301" s="16"/>
      <c r="G301" s="27"/>
      <c r="H301" s="27"/>
    </row>
    <row r="302">
      <c r="A302" s="31"/>
      <c r="B302" s="39"/>
      <c r="C302" s="37"/>
      <c r="D302" s="27"/>
      <c r="F302" s="16"/>
      <c r="G302" s="27"/>
      <c r="H302" s="27"/>
    </row>
    <row r="303">
      <c r="A303" s="31"/>
      <c r="B303" s="39"/>
      <c r="C303" s="37"/>
      <c r="D303" s="27"/>
      <c r="F303" s="16"/>
      <c r="G303" s="27"/>
      <c r="H303" s="27"/>
    </row>
    <row r="304">
      <c r="A304" s="31"/>
      <c r="B304" s="39"/>
      <c r="C304" s="37"/>
      <c r="D304" s="27"/>
      <c r="F304" s="16"/>
      <c r="G304" s="27"/>
      <c r="H304" s="27"/>
    </row>
    <row r="305">
      <c r="A305" s="31"/>
      <c r="B305" s="39"/>
      <c r="C305" s="37"/>
      <c r="D305" s="27"/>
      <c r="F305" s="16"/>
      <c r="G305" s="27"/>
      <c r="H305" s="27"/>
    </row>
    <row r="306">
      <c r="A306" s="31"/>
      <c r="B306" s="39"/>
      <c r="C306" s="37"/>
      <c r="D306" s="27"/>
      <c r="F306" s="16"/>
      <c r="G306" s="27"/>
      <c r="H306" s="27"/>
    </row>
    <row r="307">
      <c r="A307" s="31"/>
      <c r="B307" s="39"/>
      <c r="C307" s="37"/>
      <c r="D307" s="27"/>
      <c r="F307" s="16"/>
      <c r="G307" s="27"/>
      <c r="H307" s="27"/>
    </row>
    <row r="308">
      <c r="A308" s="31"/>
      <c r="B308" s="39"/>
      <c r="C308" s="37"/>
      <c r="D308" s="27"/>
      <c r="F308" s="16"/>
      <c r="G308" s="27"/>
      <c r="H308" s="27"/>
    </row>
    <row r="309">
      <c r="A309" s="31"/>
      <c r="B309" s="39"/>
      <c r="C309" s="37"/>
      <c r="D309" s="27"/>
      <c r="F309" s="16"/>
      <c r="G309" s="27"/>
      <c r="H309" s="27"/>
    </row>
    <row r="310">
      <c r="A310" s="31"/>
      <c r="B310" s="39"/>
      <c r="C310" s="37"/>
      <c r="D310" s="27"/>
      <c r="F310" s="16"/>
      <c r="G310" s="27"/>
      <c r="H310" s="27"/>
    </row>
    <row r="311">
      <c r="A311" s="31"/>
      <c r="B311" s="39"/>
      <c r="C311" s="37"/>
      <c r="D311" s="27"/>
      <c r="F311" s="16"/>
      <c r="G311" s="27"/>
      <c r="H311" s="27"/>
    </row>
    <row r="312">
      <c r="A312" s="31"/>
      <c r="B312" s="39"/>
      <c r="C312" s="37"/>
      <c r="D312" s="27"/>
      <c r="F312" s="16"/>
      <c r="G312" s="27"/>
      <c r="H312" s="27"/>
    </row>
    <row r="313">
      <c r="A313" s="31"/>
      <c r="B313" s="39"/>
      <c r="C313" s="37"/>
      <c r="D313" s="27"/>
      <c r="F313" s="16"/>
      <c r="G313" s="27"/>
      <c r="H313" s="27"/>
    </row>
    <row r="314">
      <c r="A314" s="31"/>
      <c r="B314" s="39"/>
      <c r="C314" s="37"/>
      <c r="D314" s="27"/>
      <c r="F314" s="16"/>
      <c r="G314" s="27"/>
      <c r="H314" s="27"/>
    </row>
    <row r="315">
      <c r="A315" s="31"/>
      <c r="B315" s="39"/>
      <c r="C315" s="37"/>
      <c r="D315" s="27"/>
      <c r="F315" s="16"/>
      <c r="G315" s="27"/>
      <c r="H315" s="27"/>
    </row>
    <row r="316">
      <c r="A316" s="31"/>
      <c r="B316" s="39"/>
      <c r="C316" s="37"/>
      <c r="D316" s="27"/>
      <c r="F316" s="16"/>
      <c r="G316" s="27"/>
      <c r="H316" s="27"/>
    </row>
    <row r="317">
      <c r="A317" s="31"/>
      <c r="B317" s="39"/>
      <c r="C317" s="37"/>
      <c r="D317" s="27"/>
      <c r="F317" s="16"/>
      <c r="G317" s="27"/>
      <c r="H317" s="27"/>
    </row>
    <row r="318">
      <c r="A318" s="31"/>
      <c r="B318" s="39"/>
      <c r="C318" s="37"/>
      <c r="D318" s="27"/>
      <c r="F318" s="16"/>
      <c r="G318" s="27"/>
      <c r="H318" s="27"/>
    </row>
    <row r="319">
      <c r="A319" s="31"/>
      <c r="B319" s="39"/>
      <c r="C319" s="37"/>
      <c r="D319" s="27"/>
      <c r="F319" s="16"/>
      <c r="G319" s="27"/>
      <c r="H319" s="27"/>
    </row>
    <row r="320">
      <c r="A320" s="31"/>
      <c r="B320" s="39"/>
      <c r="C320" s="37"/>
      <c r="D320" s="27"/>
      <c r="F320" s="16"/>
      <c r="G320" s="27"/>
      <c r="H320" s="27"/>
    </row>
    <row r="321">
      <c r="A321" s="31"/>
      <c r="B321" s="39"/>
      <c r="C321" s="37"/>
      <c r="D321" s="27"/>
      <c r="F321" s="16"/>
      <c r="G321" s="27"/>
      <c r="H321" s="27"/>
    </row>
    <row r="322">
      <c r="A322" s="31"/>
      <c r="B322" s="39"/>
      <c r="C322" s="37"/>
      <c r="D322" s="27"/>
      <c r="F322" s="16"/>
      <c r="G322" s="27"/>
      <c r="H322" s="27"/>
    </row>
    <row r="323">
      <c r="A323" s="31"/>
      <c r="B323" s="39"/>
      <c r="C323" s="37"/>
      <c r="D323" s="27"/>
      <c r="F323" s="16"/>
      <c r="G323" s="27"/>
      <c r="H323" s="27"/>
    </row>
    <row r="324">
      <c r="A324" s="31"/>
      <c r="B324" s="39"/>
      <c r="C324" s="37"/>
      <c r="D324" s="27"/>
      <c r="F324" s="16"/>
      <c r="G324" s="27"/>
      <c r="H324" s="27"/>
    </row>
    <row r="325">
      <c r="A325" s="31"/>
      <c r="B325" s="39"/>
      <c r="C325" s="37"/>
      <c r="D325" s="27"/>
      <c r="F325" s="16"/>
      <c r="G325" s="27"/>
      <c r="H325" s="27"/>
    </row>
    <row r="326">
      <c r="A326" s="31"/>
      <c r="B326" s="39"/>
      <c r="C326" s="37"/>
      <c r="D326" s="27"/>
      <c r="F326" s="16"/>
      <c r="G326" s="27"/>
      <c r="H326" s="27"/>
    </row>
    <row r="327">
      <c r="A327" s="31"/>
      <c r="B327" s="39"/>
      <c r="C327" s="37"/>
      <c r="D327" s="27"/>
      <c r="F327" s="16"/>
      <c r="G327" s="27"/>
      <c r="H327" s="27"/>
    </row>
    <row r="328">
      <c r="A328" s="31"/>
      <c r="B328" s="39"/>
      <c r="C328" s="37"/>
      <c r="D328" s="27"/>
      <c r="F328" s="16"/>
      <c r="G328" s="27"/>
      <c r="H328" s="27"/>
    </row>
    <row r="329">
      <c r="A329" s="31"/>
      <c r="B329" s="39"/>
      <c r="C329" s="37"/>
      <c r="D329" s="27"/>
      <c r="F329" s="16"/>
      <c r="G329" s="27"/>
      <c r="H329" s="27"/>
    </row>
    <row r="330">
      <c r="A330" s="31"/>
      <c r="B330" s="39"/>
      <c r="C330" s="37"/>
      <c r="D330" s="27"/>
      <c r="F330" s="16"/>
      <c r="G330" s="27"/>
      <c r="H330" s="27"/>
    </row>
    <row r="331">
      <c r="A331" s="31"/>
      <c r="B331" s="39"/>
      <c r="C331" s="37"/>
      <c r="D331" s="27"/>
      <c r="F331" s="16"/>
      <c r="G331" s="27"/>
      <c r="H331" s="27"/>
    </row>
    <row r="332">
      <c r="A332" s="31"/>
      <c r="B332" s="39"/>
      <c r="C332" s="37"/>
      <c r="D332" s="27"/>
      <c r="F332" s="16"/>
      <c r="G332" s="27"/>
      <c r="H332" s="27"/>
    </row>
    <row r="333">
      <c r="A333" s="31"/>
      <c r="B333" s="39"/>
      <c r="C333" s="37"/>
      <c r="D333" s="27"/>
      <c r="F333" s="16"/>
      <c r="G333" s="27"/>
      <c r="H333" s="27"/>
    </row>
    <row r="334">
      <c r="A334" s="31"/>
      <c r="B334" s="39"/>
      <c r="C334" s="37"/>
      <c r="D334" s="27"/>
      <c r="F334" s="16"/>
      <c r="G334" s="27"/>
      <c r="H334" s="27"/>
    </row>
    <row r="335">
      <c r="A335" s="31"/>
      <c r="B335" s="39"/>
      <c r="C335" s="37"/>
      <c r="D335" s="27"/>
      <c r="F335" s="16"/>
      <c r="G335" s="27"/>
      <c r="H335" s="27"/>
    </row>
    <row r="336">
      <c r="A336" s="31"/>
      <c r="B336" s="39"/>
      <c r="C336" s="37"/>
      <c r="D336" s="27"/>
      <c r="F336" s="16"/>
      <c r="G336" s="27"/>
      <c r="H336" s="27"/>
    </row>
    <row r="337">
      <c r="A337" s="31"/>
      <c r="B337" s="39"/>
      <c r="C337" s="37"/>
      <c r="D337" s="27"/>
      <c r="F337" s="16"/>
      <c r="G337" s="27"/>
      <c r="H337" s="27"/>
    </row>
    <row r="338">
      <c r="A338" s="31"/>
      <c r="B338" s="39"/>
      <c r="C338" s="37"/>
      <c r="D338" s="27"/>
      <c r="F338" s="16"/>
      <c r="G338" s="27"/>
      <c r="H338" s="27"/>
    </row>
    <row r="339">
      <c r="A339" s="31"/>
      <c r="B339" s="39"/>
      <c r="C339" s="37"/>
      <c r="D339" s="27"/>
      <c r="F339" s="16"/>
      <c r="G339" s="27"/>
      <c r="H339" s="27"/>
    </row>
    <row r="340">
      <c r="A340" s="31"/>
      <c r="B340" s="39"/>
      <c r="C340" s="37"/>
      <c r="D340" s="27"/>
      <c r="F340" s="16"/>
      <c r="G340" s="27"/>
      <c r="H340" s="27"/>
    </row>
    <row r="341">
      <c r="A341" s="31"/>
      <c r="B341" s="39"/>
      <c r="C341" s="37"/>
      <c r="D341" s="27"/>
      <c r="F341" s="16"/>
      <c r="G341" s="27"/>
      <c r="H341" s="27"/>
    </row>
    <row r="342">
      <c r="A342" s="31"/>
      <c r="B342" s="39"/>
      <c r="C342" s="37"/>
      <c r="D342" s="27"/>
      <c r="F342" s="16"/>
      <c r="G342" s="27"/>
      <c r="H342" s="27"/>
    </row>
    <row r="343">
      <c r="A343" s="31"/>
      <c r="B343" s="39"/>
      <c r="C343" s="37"/>
      <c r="D343" s="27"/>
      <c r="F343" s="16"/>
      <c r="G343" s="27"/>
      <c r="H343" s="27"/>
    </row>
    <row r="344">
      <c r="A344" s="31"/>
      <c r="B344" s="39"/>
      <c r="C344" s="37"/>
      <c r="D344" s="27"/>
      <c r="F344" s="16"/>
      <c r="G344" s="27"/>
      <c r="H344" s="27"/>
    </row>
    <row r="345">
      <c r="A345" s="31"/>
      <c r="B345" s="39"/>
      <c r="C345" s="37"/>
      <c r="D345" s="27"/>
      <c r="F345" s="16"/>
      <c r="G345" s="27"/>
      <c r="H345" s="27"/>
    </row>
    <row r="346">
      <c r="A346" s="31"/>
      <c r="B346" s="39"/>
      <c r="C346" s="37"/>
      <c r="D346" s="27"/>
      <c r="F346" s="16"/>
      <c r="G346" s="27"/>
      <c r="H346" s="27"/>
    </row>
    <row r="347">
      <c r="A347" s="31"/>
      <c r="B347" s="39"/>
      <c r="C347" s="37"/>
      <c r="D347" s="27"/>
      <c r="F347" s="16"/>
      <c r="G347" s="27"/>
      <c r="H347" s="27"/>
    </row>
    <row r="348">
      <c r="A348" s="31"/>
      <c r="B348" s="39"/>
      <c r="C348" s="37"/>
      <c r="D348" s="27"/>
      <c r="F348" s="16"/>
      <c r="G348" s="27"/>
      <c r="H348" s="27"/>
    </row>
    <row r="349">
      <c r="A349" s="31"/>
      <c r="B349" s="39"/>
      <c r="C349" s="37"/>
      <c r="D349" s="27"/>
      <c r="F349" s="16"/>
      <c r="G349" s="27"/>
      <c r="H349" s="27"/>
    </row>
    <row r="350">
      <c r="A350" s="31"/>
      <c r="B350" s="39"/>
      <c r="C350" s="37"/>
      <c r="D350" s="27"/>
      <c r="F350" s="16"/>
      <c r="G350" s="27"/>
      <c r="H350" s="27"/>
    </row>
    <row r="351">
      <c r="A351" s="31"/>
      <c r="B351" s="39"/>
      <c r="C351" s="37"/>
      <c r="D351" s="27"/>
      <c r="F351" s="16"/>
      <c r="G351" s="27"/>
      <c r="H351" s="27"/>
    </row>
    <row r="352">
      <c r="A352" s="31"/>
      <c r="B352" s="39"/>
      <c r="C352" s="37"/>
      <c r="D352" s="27"/>
      <c r="F352" s="16"/>
      <c r="G352" s="27"/>
      <c r="H352" s="27"/>
    </row>
    <row r="353">
      <c r="A353" s="31"/>
      <c r="B353" s="39"/>
      <c r="C353" s="37"/>
      <c r="D353" s="27"/>
      <c r="F353" s="16"/>
      <c r="G353" s="27"/>
      <c r="H353" s="27"/>
    </row>
    <row r="354">
      <c r="A354" s="31"/>
      <c r="B354" s="39"/>
      <c r="C354" s="37"/>
      <c r="D354" s="27"/>
      <c r="F354" s="16"/>
      <c r="G354" s="27"/>
      <c r="H354" s="27"/>
    </row>
    <row r="355">
      <c r="A355" s="31"/>
      <c r="B355" s="39"/>
      <c r="C355" s="37"/>
      <c r="D355" s="27"/>
      <c r="F355" s="16"/>
      <c r="G355" s="27"/>
      <c r="H355" s="27"/>
    </row>
    <row r="356">
      <c r="A356" s="31"/>
      <c r="B356" s="39"/>
      <c r="C356" s="37"/>
      <c r="D356" s="27"/>
      <c r="F356" s="16"/>
      <c r="G356" s="27"/>
      <c r="H356" s="27"/>
    </row>
    <row r="357">
      <c r="A357" s="31"/>
      <c r="B357" s="39"/>
      <c r="C357" s="37"/>
      <c r="D357" s="27"/>
      <c r="F357" s="16"/>
      <c r="G357" s="27"/>
      <c r="H357" s="27"/>
    </row>
    <row r="358">
      <c r="A358" s="31"/>
      <c r="B358" s="39"/>
      <c r="C358" s="37"/>
      <c r="D358" s="27"/>
      <c r="F358" s="16"/>
      <c r="G358" s="27"/>
      <c r="H358" s="27"/>
    </row>
    <row r="359">
      <c r="A359" s="31"/>
      <c r="B359" s="39"/>
      <c r="C359" s="37"/>
      <c r="D359" s="27"/>
      <c r="F359" s="16"/>
      <c r="G359" s="27"/>
      <c r="H359" s="27"/>
    </row>
    <row r="360">
      <c r="A360" s="31"/>
      <c r="B360" s="39"/>
      <c r="C360" s="37"/>
      <c r="D360" s="27"/>
      <c r="F360" s="16"/>
      <c r="G360" s="27"/>
      <c r="H360" s="27"/>
    </row>
    <row r="361">
      <c r="A361" s="31"/>
      <c r="B361" s="39"/>
      <c r="C361" s="37"/>
      <c r="D361" s="27"/>
      <c r="F361" s="16"/>
      <c r="G361" s="27"/>
      <c r="H361" s="27"/>
    </row>
    <row r="362">
      <c r="A362" s="31"/>
      <c r="B362" s="39"/>
      <c r="C362" s="37"/>
      <c r="D362" s="27"/>
      <c r="F362" s="16"/>
      <c r="G362" s="27"/>
      <c r="H362" s="27"/>
    </row>
    <row r="363">
      <c r="A363" s="31"/>
      <c r="B363" s="39"/>
      <c r="C363" s="37"/>
      <c r="D363" s="27"/>
      <c r="F363" s="16"/>
      <c r="G363" s="27"/>
      <c r="H363" s="27"/>
    </row>
    <row r="364">
      <c r="A364" s="31"/>
      <c r="B364" s="39"/>
      <c r="C364" s="37"/>
      <c r="D364" s="27"/>
      <c r="F364" s="16"/>
      <c r="G364" s="27"/>
      <c r="H364" s="27"/>
    </row>
    <row r="365">
      <c r="A365" s="31"/>
      <c r="B365" s="39"/>
      <c r="C365" s="37"/>
      <c r="D365" s="27"/>
      <c r="F365" s="16"/>
      <c r="G365" s="27"/>
      <c r="H365" s="27"/>
    </row>
    <row r="366">
      <c r="A366" s="31"/>
      <c r="B366" s="39"/>
      <c r="C366" s="37"/>
      <c r="D366" s="27"/>
      <c r="F366" s="16"/>
      <c r="G366" s="27"/>
      <c r="H366" s="27"/>
    </row>
    <row r="367">
      <c r="A367" s="31"/>
      <c r="B367" s="39"/>
      <c r="C367" s="37"/>
      <c r="D367" s="27"/>
      <c r="F367" s="16"/>
      <c r="G367" s="27"/>
      <c r="H367" s="27"/>
    </row>
    <row r="368">
      <c r="A368" s="31"/>
      <c r="B368" s="39"/>
      <c r="C368" s="37"/>
      <c r="D368" s="27"/>
      <c r="F368" s="16"/>
      <c r="G368" s="27"/>
      <c r="H368" s="27"/>
    </row>
    <row r="369">
      <c r="A369" s="31"/>
      <c r="B369" s="39"/>
      <c r="C369" s="37"/>
      <c r="D369" s="27"/>
      <c r="F369" s="16"/>
      <c r="G369" s="27"/>
      <c r="H369" s="27"/>
    </row>
    <row r="370">
      <c r="A370" s="31"/>
      <c r="B370" s="39"/>
      <c r="C370" s="37"/>
      <c r="D370" s="27"/>
      <c r="F370" s="16"/>
      <c r="G370" s="27"/>
      <c r="H370" s="27"/>
    </row>
    <row r="371">
      <c r="A371" s="31"/>
      <c r="B371" s="39"/>
      <c r="C371" s="37"/>
      <c r="D371" s="27"/>
      <c r="F371" s="16"/>
      <c r="G371" s="27"/>
      <c r="H371" s="27"/>
    </row>
    <row r="372">
      <c r="A372" s="31"/>
      <c r="B372" s="39"/>
      <c r="C372" s="37"/>
      <c r="D372" s="27"/>
      <c r="F372" s="16"/>
      <c r="G372" s="27"/>
      <c r="H372" s="27"/>
    </row>
    <row r="373">
      <c r="A373" s="31"/>
      <c r="B373" s="39"/>
      <c r="C373" s="37"/>
      <c r="D373" s="27"/>
      <c r="F373" s="16"/>
      <c r="G373" s="27"/>
      <c r="H373" s="27"/>
    </row>
    <row r="374">
      <c r="A374" s="31"/>
      <c r="B374" s="39"/>
      <c r="C374" s="37"/>
      <c r="D374" s="27"/>
      <c r="F374" s="16"/>
      <c r="G374" s="27"/>
      <c r="H374" s="27"/>
    </row>
    <row r="375">
      <c r="A375" s="31"/>
      <c r="B375" s="39"/>
      <c r="C375" s="37"/>
      <c r="D375" s="27"/>
      <c r="F375" s="16"/>
      <c r="G375" s="27"/>
      <c r="H375" s="27"/>
    </row>
    <row r="376">
      <c r="A376" s="31"/>
      <c r="B376" s="39"/>
      <c r="C376" s="37"/>
      <c r="D376" s="27"/>
      <c r="F376" s="16"/>
      <c r="G376" s="27"/>
      <c r="H376" s="27"/>
    </row>
    <row r="377">
      <c r="A377" s="31"/>
      <c r="B377" s="39"/>
      <c r="C377" s="37"/>
      <c r="D377" s="27"/>
      <c r="F377" s="16"/>
      <c r="G377" s="27"/>
      <c r="H377" s="27"/>
    </row>
    <row r="378">
      <c r="A378" s="31"/>
      <c r="B378" s="39"/>
      <c r="C378" s="37"/>
      <c r="D378" s="27"/>
      <c r="F378" s="16"/>
      <c r="G378" s="27"/>
      <c r="H378" s="27"/>
    </row>
    <row r="379">
      <c r="A379" s="31"/>
      <c r="B379" s="39"/>
      <c r="C379" s="37"/>
      <c r="D379" s="27"/>
      <c r="F379" s="16"/>
      <c r="G379" s="27"/>
      <c r="H379" s="27"/>
    </row>
    <row r="380">
      <c r="A380" s="31"/>
      <c r="B380" s="39"/>
      <c r="C380" s="37"/>
      <c r="D380" s="27"/>
      <c r="F380" s="16"/>
      <c r="G380" s="27"/>
      <c r="H380" s="27"/>
    </row>
    <row r="381">
      <c r="A381" s="31"/>
      <c r="B381" s="39"/>
      <c r="C381" s="37"/>
      <c r="D381" s="27"/>
      <c r="F381" s="16"/>
      <c r="G381" s="27"/>
      <c r="H381" s="27"/>
    </row>
    <row r="382">
      <c r="A382" s="31"/>
      <c r="B382" s="39"/>
      <c r="C382" s="37"/>
      <c r="D382" s="27"/>
      <c r="F382" s="16"/>
      <c r="G382" s="27"/>
      <c r="H382" s="27"/>
    </row>
    <row r="383">
      <c r="A383" s="31"/>
      <c r="B383" s="39"/>
      <c r="C383" s="37"/>
      <c r="D383" s="27"/>
      <c r="F383" s="16"/>
      <c r="G383" s="27"/>
      <c r="H383" s="27"/>
    </row>
    <row r="384">
      <c r="A384" s="31"/>
      <c r="B384" s="39"/>
      <c r="C384" s="37"/>
      <c r="D384" s="27"/>
      <c r="F384" s="16"/>
      <c r="G384" s="27"/>
      <c r="H384" s="27"/>
    </row>
    <row r="385">
      <c r="A385" s="31"/>
      <c r="B385" s="39"/>
      <c r="C385" s="37"/>
      <c r="D385" s="27"/>
      <c r="F385" s="16"/>
      <c r="G385" s="27"/>
      <c r="H385" s="27"/>
    </row>
    <row r="386">
      <c r="A386" s="31"/>
      <c r="B386" s="39"/>
      <c r="C386" s="37"/>
      <c r="D386" s="27"/>
      <c r="F386" s="16"/>
      <c r="G386" s="27"/>
      <c r="H386" s="27"/>
    </row>
    <row r="387">
      <c r="A387" s="31"/>
      <c r="B387" s="39"/>
      <c r="C387" s="37"/>
      <c r="D387" s="27"/>
      <c r="F387" s="16"/>
      <c r="G387" s="27"/>
      <c r="H387" s="27"/>
    </row>
    <row r="388">
      <c r="A388" s="31"/>
      <c r="B388" s="39"/>
      <c r="C388" s="37"/>
      <c r="D388" s="27"/>
      <c r="F388" s="16"/>
      <c r="G388" s="27"/>
      <c r="H388" s="27"/>
    </row>
    <row r="389">
      <c r="A389" s="31"/>
      <c r="B389" s="39"/>
      <c r="C389" s="37"/>
      <c r="D389" s="27"/>
      <c r="F389" s="16"/>
      <c r="G389" s="27"/>
      <c r="H389" s="27"/>
    </row>
    <row r="390">
      <c r="A390" s="31"/>
      <c r="B390" s="39"/>
      <c r="C390" s="37"/>
      <c r="D390" s="27"/>
      <c r="F390" s="16"/>
      <c r="G390" s="27"/>
      <c r="H390" s="27"/>
    </row>
    <row r="391">
      <c r="A391" s="31"/>
      <c r="B391" s="39"/>
      <c r="C391" s="37"/>
      <c r="D391" s="27"/>
      <c r="F391" s="16"/>
      <c r="G391" s="27"/>
      <c r="H391" s="27"/>
    </row>
    <row r="392">
      <c r="A392" s="31"/>
      <c r="B392" s="39"/>
      <c r="C392" s="37"/>
      <c r="D392" s="27"/>
      <c r="F392" s="16"/>
      <c r="G392" s="27"/>
      <c r="H392" s="27"/>
    </row>
    <row r="393">
      <c r="A393" s="31"/>
      <c r="B393" s="39"/>
      <c r="C393" s="37"/>
      <c r="D393" s="27"/>
      <c r="F393" s="16"/>
      <c r="G393" s="27"/>
      <c r="H393" s="27"/>
    </row>
    <row r="394">
      <c r="A394" s="31"/>
      <c r="B394" s="39"/>
      <c r="C394" s="37"/>
      <c r="D394" s="27"/>
      <c r="F394" s="16"/>
      <c r="G394" s="27"/>
      <c r="H394" s="27"/>
    </row>
    <row r="395">
      <c r="A395" s="31"/>
      <c r="B395" s="39"/>
      <c r="C395" s="37"/>
      <c r="D395" s="27"/>
      <c r="F395" s="16"/>
      <c r="G395" s="27"/>
      <c r="H395" s="27"/>
    </row>
    <row r="396">
      <c r="A396" s="31"/>
      <c r="B396" s="39"/>
      <c r="C396" s="37"/>
      <c r="D396" s="27"/>
      <c r="F396" s="16"/>
      <c r="G396" s="27"/>
      <c r="H396" s="27"/>
    </row>
    <row r="397">
      <c r="A397" s="31"/>
      <c r="B397" s="39"/>
      <c r="C397" s="37"/>
      <c r="D397" s="27"/>
      <c r="F397" s="16"/>
      <c r="G397" s="27"/>
      <c r="H397" s="27"/>
    </row>
    <row r="398">
      <c r="A398" s="31"/>
      <c r="B398" s="39"/>
      <c r="C398" s="37"/>
      <c r="D398" s="27"/>
      <c r="F398" s="16"/>
      <c r="G398" s="27"/>
      <c r="H398" s="27"/>
    </row>
    <row r="399">
      <c r="A399" s="31"/>
      <c r="B399" s="39"/>
      <c r="C399" s="37"/>
      <c r="D399" s="27"/>
      <c r="F399" s="16"/>
      <c r="G399" s="27"/>
      <c r="H399" s="27"/>
    </row>
    <row r="400">
      <c r="A400" s="31"/>
      <c r="B400" s="39"/>
      <c r="C400" s="37"/>
      <c r="D400" s="27"/>
      <c r="F400" s="16"/>
      <c r="G400" s="27"/>
      <c r="H400" s="27"/>
    </row>
    <row r="401">
      <c r="A401" s="31"/>
      <c r="B401" s="39"/>
      <c r="C401" s="37"/>
      <c r="D401" s="27"/>
      <c r="F401" s="16"/>
      <c r="G401" s="27"/>
      <c r="H401" s="27"/>
    </row>
    <row r="402">
      <c r="A402" s="31"/>
      <c r="B402" s="39"/>
      <c r="C402" s="37"/>
      <c r="D402" s="27"/>
      <c r="F402" s="16"/>
      <c r="G402" s="27"/>
      <c r="H402" s="27"/>
    </row>
    <row r="403">
      <c r="A403" s="31"/>
      <c r="B403" s="39"/>
      <c r="C403" s="37"/>
      <c r="D403" s="27"/>
      <c r="F403" s="16"/>
      <c r="G403" s="27"/>
      <c r="H403" s="27"/>
    </row>
    <row r="404">
      <c r="A404" s="31"/>
      <c r="B404" s="39"/>
      <c r="C404" s="37"/>
      <c r="D404" s="27"/>
      <c r="F404" s="16"/>
      <c r="G404" s="27"/>
      <c r="H404" s="27"/>
    </row>
    <row r="405">
      <c r="A405" s="31"/>
      <c r="B405" s="39"/>
      <c r="C405" s="37"/>
      <c r="D405" s="27"/>
      <c r="F405" s="16"/>
      <c r="G405" s="27"/>
      <c r="H405" s="27"/>
    </row>
    <row r="406">
      <c r="A406" s="31"/>
      <c r="B406" s="39"/>
      <c r="C406" s="37"/>
      <c r="D406" s="27"/>
      <c r="F406" s="16"/>
      <c r="G406" s="27"/>
      <c r="H406" s="27"/>
    </row>
    <row r="407">
      <c r="A407" s="31"/>
      <c r="B407" s="39"/>
      <c r="C407" s="37"/>
      <c r="D407" s="27"/>
      <c r="F407" s="16"/>
      <c r="G407" s="27"/>
      <c r="H407" s="27"/>
    </row>
    <row r="408">
      <c r="A408" s="31"/>
      <c r="B408" s="39"/>
      <c r="C408" s="37"/>
      <c r="D408" s="27"/>
      <c r="F408" s="16"/>
      <c r="G408" s="27"/>
      <c r="H408" s="27"/>
    </row>
    <row r="409">
      <c r="A409" s="31"/>
      <c r="B409" s="39"/>
      <c r="C409" s="37"/>
      <c r="D409" s="27"/>
      <c r="F409" s="16"/>
      <c r="G409" s="27"/>
      <c r="H409" s="27"/>
    </row>
    <row r="410">
      <c r="A410" s="31"/>
      <c r="B410" s="39"/>
      <c r="C410" s="37"/>
      <c r="D410" s="27"/>
      <c r="F410" s="16"/>
      <c r="G410" s="27"/>
      <c r="H410" s="27"/>
    </row>
    <row r="411">
      <c r="A411" s="31"/>
      <c r="B411" s="39"/>
      <c r="C411" s="37"/>
      <c r="D411" s="27"/>
      <c r="F411" s="16"/>
      <c r="G411" s="27"/>
      <c r="H411" s="27"/>
    </row>
    <row r="412">
      <c r="A412" s="31"/>
      <c r="B412" s="39"/>
      <c r="C412" s="37"/>
      <c r="D412" s="27"/>
      <c r="F412" s="16"/>
      <c r="G412" s="27"/>
      <c r="H412" s="27"/>
    </row>
    <row r="413">
      <c r="A413" s="31"/>
      <c r="B413" s="39"/>
      <c r="C413" s="37"/>
      <c r="D413" s="27"/>
      <c r="F413" s="16"/>
      <c r="G413" s="27"/>
      <c r="H413" s="27"/>
    </row>
    <row r="414">
      <c r="A414" s="31"/>
      <c r="B414" s="39"/>
      <c r="C414" s="37"/>
      <c r="D414" s="27"/>
      <c r="F414" s="16"/>
      <c r="G414" s="27"/>
      <c r="H414" s="27"/>
    </row>
    <row r="415">
      <c r="A415" s="31"/>
      <c r="B415" s="39"/>
      <c r="C415" s="37"/>
      <c r="D415" s="27"/>
      <c r="F415" s="16"/>
      <c r="G415" s="27"/>
      <c r="H415" s="27"/>
    </row>
    <row r="416">
      <c r="A416" s="31"/>
      <c r="B416" s="39"/>
      <c r="C416" s="37"/>
      <c r="D416" s="27"/>
      <c r="F416" s="16"/>
      <c r="G416" s="27"/>
      <c r="H416" s="27"/>
    </row>
    <row r="417">
      <c r="A417" s="31"/>
      <c r="B417" s="39"/>
      <c r="C417" s="37"/>
      <c r="D417" s="27"/>
      <c r="F417" s="16"/>
      <c r="G417" s="27"/>
      <c r="H417" s="27"/>
    </row>
    <row r="418">
      <c r="A418" s="31"/>
      <c r="B418" s="39"/>
      <c r="C418" s="37"/>
      <c r="D418" s="27"/>
      <c r="F418" s="16"/>
      <c r="G418" s="27"/>
      <c r="H418" s="27"/>
    </row>
    <row r="419">
      <c r="A419" s="31"/>
      <c r="B419" s="39"/>
      <c r="C419" s="37"/>
      <c r="D419" s="27"/>
      <c r="F419" s="16"/>
      <c r="G419" s="27"/>
      <c r="H419" s="27"/>
    </row>
    <row r="420">
      <c r="A420" s="31"/>
      <c r="B420" s="39"/>
      <c r="C420" s="37"/>
      <c r="D420" s="27"/>
      <c r="F420" s="16"/>
      <c r="G420" s="27"/>
      <c r="H420" s="27"/>
    </row>
    <row r="421">
      <c r="A421" s="31"/>
      <c r="B421" s="39"/>
      <c r="C421" s="37"/>
      <c r="D421" s="27"/>
      <c r="F421" s="16"/>
      <c r="G421" s="27"/>
      <c r="H421" s="27"/>
    </row>
    <row r="422">
      <c r="A422" s="31"/>
      <c r="B422" s="39"/>
      <c r="C422" s="37"/>
      <c r="D422" s="27"/>
      <c r="F422" s="16"/>
      <c r="G422" s="27"/>
      <c r="H422" s="27"/>
    </row>
    <row r="423">
      <c r="A423" s="31"/>
      <c r="B423" s="39"/>
      <c r="C423" s="37"/>
      <c r="D423" s="27"/>
      <c r="F423" s="16"/>
      <c r="G423" s="27"/>
      <c r="H423" s="27"/>
    </row>
    <row r="424">
      <c r="A424" s="31"/>
      <c r="B424" s="39"/>
      <c r="C424" s="37"/>
      <c r="D424" s="27"/>
      <c r="F424" s="16"/>
      <c r="G424" s="27"/>
      <c r="H424" s="27"/>
    </row>
    <row r="425">
      <c r="A425" s="31"/>
      <c r="B425" s="39"/>
      <c r="C425" s="37"/>
      <c r="D425" s="27"/>
      <c r="F425" s="16"/>
      <c r="G425" s="27"/>
      <c r="H425" s="27"/>
    </row>
    <row r="426">
      <c r="A426" s="31"/>
      <c r="B426" s="39"/>
      <c r="C426" s="37"/>
      <c r="D426" s="27"/>
      <c r="F426" s="16"/>
      <c r="G426" s="27"/>
      <c r="H426" s="27"/>
    </row>
    <row r="427">
      <c r="A427" s="31"/>
      <c r="B427" s="39"/>
      <c r="C427" s="37"/>
      <c r="D427" s="27"/>
      <c r="F427" s="16"/>
      <c r="G427" s="27"/>
      <c r="H427" s="27"/>
    </row>
    <row r="428">
      <c r="A428" s="31"/>
      <c r="B428" s="39"/>
      <c r="C428" s="37"/>
      <c r="D428" s="27"/>
      <c r="F428" s="16"/>
      <c r="G428" s="27"/>
      <c r="H428" s="27"/>
    </row>
    <row r="429">
      <c r="A429" s="31"/>
      <c r="B429" s="39"/>
      <c r="C429" s="37"/>
      <c r="D429" s="27"/>
      <c r="F429" s="16"/>
      <c r="G429" s="27"/>
      <c r="H429" s="27"/>
    </row>
    <row r="430">
      <c r="A430" s="31"/>
      <c r="B430" s="39"/>
      <c r="C430" s="37"/>
      <c r="D430" s="27"/>
      <c r="F430" s="16"/>
      <c r="G430" s="27"/>
      <c r="H430" s="27"/>
    </row>
    <row r="431">
      <c r="A431" s="31"/>
      <c r="B431" s="39"/>
      <c r="C431" s="37"/>
      <c r="D431" s="27"/>
      <c r="F431" s="16"/>
      <c r="G431" s="27"/>
      <c r="H431" s="27"/>
    </row>
    <row r="432">
      <c r="A432" s="31"/>
      <c r="B432" s="39"/>
      <c r="C432" s="37"/>
      <c r="D432" s="27"/>
      <c r="F432" s="16"/>
      <c r="G432" s="27"/>
      <c r="H432" s="27"/>
    </row>
    <row r="433">
      <c r="A433" s="31"/>
      <c r="B433" s="39"/>
      <c r="C433" s="37"/>
      <c r="D433" s="27"/>
      <c r="F433" s="16"/>
      <c r="G433" s="27"/>
      <c r="H433" s="27"/>
    </row>
    <row r="434">
      <c r="A434" s="31"/>
      <c r="B434" s="39"/>
      <c r="C434" s="37"/>
      <c r="D434" s="27"/>
      <c r="F434" s="16"/>
      <c r="G434" s="27"/>
      <c r="H434" s="27"/>
    </row>
    <row r="435">
      <c r="A435" s="31"/>
      <c r="B435" s="39"/>
      <c r="C435" s="37"/>
      <c r="D435" s="27"/>
      <c r="F435" s="16"/>
      <c r="G435" s="27"/>
      <c r="H435" s="27"/>
    </row>
    <row r="436">
      <c r="A436" s="31"/>
      <c r="B436" s="39"/>
      <c r="C436" s="37"/>
      <c r="D436" s="27"/>
      <c r="F436" s="16"/>
      <c r="G436" s="27"/>
      <c r="H436" s="27"/>
    </row>
    <row r="437">
      <c r="A437" s="31"/>
      <c r="B437" s="39"/>
      <c r="C437" s="37"/>
      <c r="D437" s="27"/>
      <c r="F437" s="16"/>
      <c r="G437" s="27"/>
      <c r="H437" s="27"/>
    </row>
    <row r="438">
      <c r="A438" s="31"/>
      <c r="B438" s="39"/>
      <c r="C438" s="37"/>
      <c r="D438" s="27"/>
      <c r="F438" s="16"/>
      <c r="G438" s="27"/>
      <c r="H438" s="27"/>
    </row>
    <row r="439">
      <c r="A439" s="31"/>
      <c r="B439" s="39"/>
      <c r="C439" s="37"/>
      <c r="D439" s="27"/>
      <c r="F439" s="16"/>
      <c r="G439" s="27"/>
      <c r="H439" s="27"/>
    </row>
    <row r="440">
      <c r="A440" s="31"/>
      <c r="B440" s="39"/>
      <c r="C440" s="37"/>
      <c r="D440" s="27"/>
      <c r="F440" s="16"/>
      <c r="G440" s="27"/>
      <c r="H440" s="27"/>
    </row>
    <row r="441">
      <c r="A441" s="31"/>
      <c r="B441" s="39"/>
      <c r="C441" s="37"/>
      <c r="D441" s="27"/>
      <c r="F441" s="16"/>
      <c r="G441" s="27"/>
      <c r="H441" s="27"/>
    </row>
    <row r="442">
      <c r="A442" s="31"/>
      <c r="B442" s="39"/>
      <c r="C442" s="37"/>
      <c r="D442" s="27"/>
      <c r="F442" s="16"/>
      <c r="G442" s="27"/>
      <c r="H442" s="27"/>
    </row>
    <row r="443">
      <c r="A443" s="31"/>
      <c r="B443" s="39"/>
      <c r="C443" s="37"/>
      <c r="D443" s="27"/>
      <c r="F443" s="16"/>
      <c r="G443" s="27"/>
      <c r="H443" s="27"/>
    </row>
    <row r="444">
      <c r="A444" s="31"/>
      <c r="B444" s="39"/>
      <c r="C444" s="37"/>
      <c r="D444" s="27"/>
      <c r="F444" s="16"/>
      <c r="G444" s="27"/>
      <c r="H444" s="27"/>
    </row>
    <row r="445">
      <c r="A445" s="31"/>
      <c r="B445" s="39"/>
      <c r="C445" s="37"/>
      <c r="D445" s="27"/>
      <c r="F445" s="16"/>
      <c r="G445" s="27"/>
      <c r="H445" s="27"/>
    </row>
    <row r="446">
      <c r="A446" s="31"/>
      <c r="B446" s="39"/>
      <c r="C446" s="37"/>
      <c r="D446" s="27"/>
      <c r="F446" s="16"/>
      <c r="G446" s="27"/>
      <c r="H446" s="27"/>
    </row>
    <row r="447">
      <c r="A447" s="31"/>
      <c r="B447" s="39"/>
      <c r="C447" s="37"/>
      <c r="D447" s="27"/>
      <c r="F447" s="16"/>
      <c r="G447" s="27"/>
      <c r="H447" s="27"/>
    </row>
    <row r="448">
      <c r="A448" s="31"/>
      <c r="B448" s="39"/>
      <c r="C448" s="37"/>
      <c r="D448" s="27"/>
      <c r="F448" s="16"/>
      <c r="G448" s="27"/>
      <c r="H448" s="27"/>
    </row>
    <row r="449">
      <c r="A449" s="31"/>
      <c r="B449" s="39"/>
      <c r="C449" s="37"/>
      <c r="D449" s="27"/>
      <c r="F449" s="16"/>
      <c r="G449" s="27"/>
      <c r="H449" s="27"/>
    </row>
    <row r="450">
      <c r="A450" s="31"/>
      <c r="B450" s="39"/>
      <c r="C450" s="37"/>
      <c r="D450" s="27"/>
      <c r="F450" s="16"/>
      <c r="G450" s="27"/>
      <c r="H450" s="27"/>
    </row>
    <row r="451">
      <c r="A451" s="31"/>
      <c r="B451" s="39"/>
      <c r="C451" s="37"/>
      <c r="D451" s="27"/>
      <c r="F451" s="16"/>
      <c r="G451" s="27"/>
      <c r="H451" s="27"/>
    </row>
    <row r="452">
      <c r="A452" s="31"/>
      <c r="B452" s="39"/>
      <c r="C452" s="37"/>
      <c r="D452" s="27"/>
      <c r="F452" s="16"/>
      <c r="G452" s="27"/>
      <c r="H452" s="27"/>
    </row>
    <row r="453">
      <c r="A453" s="31"/>
      <c r="B453" s="39"/>
      <c r="C453" s="37"/>
      <c r="D453" s="27"/>
      <c r="F453" s="16"/>
      <c r="G453" s="27"/>
      <c r="H453" s="27"/>
    </row>
    <row r="454">
      <c r="A454" s="31"/>
      <c r="B454" s="39"/>
      <c r="C454" s="37"/>
      <c r="D454" s="27"/>
      <c r="F454" s="16"/>
      <c r="G454" s="27"/>
      <c r="H454" s="27"/>
    </row>
    <row r="455">
      <c r="A455" s="31"/>
      <c r="B455" s="39"/>
      <c r="C455" s="37"/>
      <c r="D455" s="27"/>
      <c r="F455" s="16"/>
      <c r="G455" s="27"/>
      <c r="H455" s="27"/>
    </row>
    <row r="456">
      <c r="A456" s="31"/>
      <c r="B456" s="39"/>
      <c r="C456" s="37"/>
      <c r="D456" s="27"/>
      <c r="F456" s="16"/>
      <c r="G456" s="27"/>
      <c r="H456" s="27"/>
    </row>
    <row r="457">
      <c r="A457" s="31"/>
      <c r="B457" s="39"/>
      <c r="C457" s="37"/>
      <c r="D457" s="27"/>
      <c r="F457" s="16"/>
      <c r="G457" s="27"/>
      <c r="H457" s="27"/>
    </row>
    <row r="458">
      <c r="A458" s="31"/>
      <c r="B458" s="39"/>
      <c r="C458" s="37"/>
      <c r="D458" s="27"/>
      <c r="F458" s="16"/>
      <c r="G458" s="27"/>
      <c r="H458" s="27"/>
    </row>
    <row r="459">
      <c r="A459" s="31"/>
      <c r="B459" s="39"/>
      <c r="C459" s="37"/>
      <c r="D459" s="27"/>
      <c r="F459" s="16"/>
      <c r="G459" s="27"/>
      <c r="H459" s="27"/>
    </row>
    <row r="460">
      <c r="A460" s="31"/>
      <c r="B460" s="39"/>
      <c r="C460" s="37"/>
      <c r="D460" s="27"/>
      <c r="F460" s="16"/>
      <c r="G460" s="27"/>
      <c r="H460" s="27"/>
    </row>
    <row r="461">
      <c r="A461" s="31"/>
      <c r="B461" s="39"/>
      <c r="C461" s="37"/>
      <c r="D461" s="27"/>
      <c r="F461" s="16"/>
      <c r="G461" s="27"/>
      <c r="H461" s="27"/>
    </row>
    <row r="462">
      <c r="A462" s="31"/>
      <c r="B462" s="39"/>
      <c r="C462" s="37"/>
      <c r="D462" s="27"/>
      <c r="F462" s="16"/>
      <c r="G462" s="27"/>
      <c r="H462" s="27"/>
    </row>
    <row r="463">
      <c r="A463" s="31"/>
      <c r="B463" s="39"/>
      <c r="C463" s="37"/>
      <c r="D463" s="27"/>
      <c r="F463" s="16"/>
      <c r="G463" s="27"/>
      <c r="H463" s="27"/>
    </row>
    <row r="464">
      <c r="A464" s="31"/>
      <c r="B464" s="39"/>
      <c r="C464" s="37"/>
      <c r="D464" s="27"/>
      <c r="F464" s="16"/>
      <c r="G464" s="27"/>
      <c r="H464" s="27"/>
    </row>
    <row r="465">
      <c r="A465" s="31"/>
      <c r="B465" s="39"/>
      <c r="C465" s="37"/>
      <c r="D465" s="27"/>
      <c r="F465" s="16"/>
      <c r="G465" s="27"/>
      <c r="H465" s="27"/>
    </row>
    <row r="466">
      <c r="A466" s="31"/>
      <c r="B466" s="39"/>
      <c r="C466" s="37"/>
      <c r="D466" s="27"/>
      <c r="F466" s="16"/>
      <c r="G466" s="27"/>
      <c r="H466" s="27"/>
    </row>
    <row r="467">
      <c r="A467" s="31"/>
      <c r="B467" s="39"/>
      <c r="C467" s="37"/>
      <c r="D467" s="27"/>
      <c r="F467" s="16"/>
      <c r="G467" s="27"/>
      <c r="H467" s="27"/>
    </row>
    <row r="468">
      <c r="A468" s="31"/>
      <c r="B468" s="39"/>
      <c r="C468" s="37"/>
      <c r="D468" s="27"/>
      <c r="F468" s="16"/>
      <c r="G468" s="27"/>
      <c r="H468" s="27"/>
    </row>
    <row r="469">
      <c r="A469" s="31"/>
      <c r="B469" s="39"/>
      <c r="C469" s="37"/>
      <c r="D469" s="27"/>
      <c r="F469" s="16"/>
      <c r="G469" s="27"/>
      <c r="H469" s="27"/>
    </row>
    <row r="470">
      <c r="A470" s="31"/>
      <c r="B470" s="39"/>
      <c r="C470" s="37"/>
      <c r="D470" s="27"/>
      <c r="F470" s="16"/>
      <c r="G470" s="27"/>
      <c r="H470" s="27"/>
    </row>
    <row r="471">
      <c r="A471" s="31"/>
      <c r="B471" s="39"/>
      <c r="C471" s="37"/>
      <c r="D471" s="27"/>
      <c r="F471" s="16"/>
      <c r="G471" s="27"/>
      <c r="H471" s="27"/>
    </row>
    <row r="472">
      <c r="A472" s="31"/>
      <c r="B472" s="39"/>
      <c r="C472" s="37"/>
      <c r="D472" s="27"/>
      <c r="F472" s="16"/>
      <c r="G472" s="27"/>
      <c r="H472" s="27"/>
    </row>
    <row r="473">
      <c r="A473" s="31"/>
      <c r="B473" s="39"/>
      <c r="C473" s="37"/>
      <c r="D473" s="27"/>
      <c r="F473" s="16"/>
      <c r="G473" s="27"/>
      <c r="H473" s="27"/>
    </row>
    <row r="474">
      <c r="A474" s="31"/>
      <c r="B474" s="39"/>
      <c r="C474" s="37"/>
      <c r="D474" s="27"/>
      <c r="F474" s="16"/>
      <c r="G474" s="27"/>
      <c r="H474" s="27"/>
    </row>
    <row r="475">
      <c r="A475" s="31"/>
      <c r="B475" s="39"/>
      <c r="C475" s="37"/>
      <c r="D475" s="27"/>
      <c r="F475" s="16"/>
      <c r="G475" s="27"/>
      <c r="H475" s="27"/>
    </row>
    <row r="476">
      <c r="A476" s="31"/>
      <c r="B476" s="39"/>
      <c r="C476" s="37"/>
      <c r="D476" s="27"/>
      <c r="F476" s="16"/>
      <c r="G476" s="27"/>
      <c r="H476" s="27"/>
    </row>
    <row r="477">
      <c r="A477" s="31"/>
      <c r="B477" s="39"/>
      <c r="C477" s="37"/>
      <c r="D477" s="27"/>
      <c r="F477" s="16"/>
      <c r="G477" s="27"/>
      <c r="H477" s="27"/>
    </row>
    <row r="478">
      <c r="A478" s="31"/>
      <c r="B478" s="39"/>
      <c r="C478" s="37"/>
      <c r="D478" s="27"/>
      <c r="F478" s="16"/>
      <c r="G478" s="27"/>
      <c r="H478" s="27"/>
    </row>
    <row r="479">
      <c r="A479" s="31"/>
      <c r="B479" s="39"/>
      <c r="C479" s="37"/>
      <c r="D479" s="27"/>
      <c r="F479" s="16"/>
      <c r="G479" s="27"/>
      <c r="H479" s="27"/>
    </row>
    <row r="480">
      <c r="A480" s="31"/>
      <c r="B480" s="39"/>
      <c r="C480" s="37"/>
      <c r="D480" s="27"/>
      <c r="F480" s="16"/>
      <c r="G480" s="27"/>
      <c r="H480" s="27"/>
    </row>
    <row r="481">
      <c r="A481" s="31"/>
      <c r="B481" s="39"/>
      <c r="C481" s="37"/>
      <c r="D481" s="27"/>
      <c r="F481" s="16"/>
      <c r="G481" s="27"/>
      <c r="H481" s="27"/>
    </row>
    <row r="482">
      <c r="A482" s="31"/>
      <c r="B482" s="39"/>
      <c r="C482" s="37"/>
      <c r="D482" s="27"/>
      <c r="F482" s="16"/>
      <c r="G482" s="27"/>
      <c r="H482" s="27"/>
    </row>
    <row r="483">
      <c r="A483" s="31"/>
      <c r="B483" s="39"/>
      <c r="C483" s="37"/>
      <c r="D483" s="27"/>
      <c r="F483" s="16"/>
      <c r="G483" s="27"/>
      <c r="H483" s="27"/>
    </row>
    <row r="484">
      <c r="A484" s="31"/>
      <c r="B484" s="39"/>
      <c r="C484" s="37"/>
      <c r="D484" s="27"/>
      <c r="F484" s="16"/>
      <c r="G484" s="27"/>
      <c r="H484" s="27"/>
    </row>
    <row r="485">
      <c r="A485" s="31"/>
      <c r="B485" s="39"/>
      <c r="C485" s="37"/>
      <c r="D485" s="27"/>
      <c r="F485" s="16"/>
      <c r="G485" s="27"/>
      <c r="H485" s="27"/>
    </row>
    <row r="486">
      <c r="A486" s="31"/>
      <c r="B486" s="39"/>
      <c r="C486" s="37"/>
      <c r="D486" s="27"/>
      <c r="F486" s="16"/>
      <c r="G486" s="27"/>
      <c r="H486" s="27"/>
    </row>
    <row r="487">
      <c r="A487" s="31"/>
      <c r="B487" s="39"/>
      <c r="C487" s="37"/>
      <c r="D487" s="27"/>
      <c r="F487" s="16"/>
      <c r="G487" s="27"/>
      <c r="H487" s="27"/>
    </row>
    <row r="488">
      <c r="A488" s="31"/>
      <c r="B488" s="39"/>
      <c r="C488" s="37"/>
      <c r="D488" s="27"/>
      <c r="F488" s="16"/>
      <c r="G488" s="27"/>
      <c r="H488" s="27"/>
    </row>
    <row r="489">
      <c r="A489" s="31"/>
      <c r="B489" s="39"/>
      <c r="C489" s="37"/>
      <c r="D489" s="27"/>
      <c r="F489" s="16"/>
      <c r="G489" s="27"/>
      <c r="H489" s="27"/>
    </row>
    <row r="490">
      <c r="A490" s="31"/>
      <c r="B490" s="39"/>
      <c r="C490" s="37"/>
      <c r="D490" s="27"/>
      <c r="F490" s="16"/>
      <c r="G490" s="27"/>
      <c r="H490" s="27"/>
    </row>
    <row r="491">
      <c r="A491" s="31"/>
      <c r="B491" s="39"/>
      <c r="C491" s="37"/>
      <c r="D491" s="27"/>
      <c r="F491" s="16"/>
      <c r="G491" s="27"/>
      <c r="H491" s="27"/>
    </row>
    <row r="492">
      <c r="A492" s="31"/>
      <c r="B492" s="39"/>
      <c r="C492" s="37"/>
      <c r="D492" s="27"/>
      <c r="F492" s="16"/>
      <c r="G492" s="27"/>
      <c r="H492" s="27"/>
    </row>
    <row r="493">
      <c r="A493" s="31"/>
      <c r="B493" s="39"/>
      <c r="C493" s="37"/>
      <c r="D493" s="27"/>
      <c r="F493" s="16"/>
      <c r="G493" s="27"/>
      <c r="H493" s="27"/>
    </row>
    <row r="494">
      <c r="A494" s="31"/>
      <c r="B494" s="39"/>
      <c r="C494" s="37"/>
      <c r="D494" s="27"/>
      <c r="F494" s="16"/>
      <c r="G494" s="27"/>
      <c r="H494" s="27"/>
    </row>
    <row r="495">
      <c r="A495" s="31"/>
      <c r="B495" s="39"/>
      <c r="C495" s="37"/>
      <c r="D495" s="27"/>
      <c r="F495" s="16"/>
      <c r="G495" s="27"/>
      <c r="H495" s="27"/>
    </row>
    <row r="496">
      <c r="A496" s="31"/>
      <c r="B496" s="39"/>
      <c r="C496" s="37"/>
      <c r="D496" s="27"/>
      <c r="F496" s="16"/>
      <c r="G496" s="27"/>
      <c r="H496" s="27"/>
    </row>
    <row r="497">
      <c r="A497" s="31"/>
      <c r="B497" s="39"/>
      <c r="C497" s="37"/>
      <c r="D497" s="27"/>
      <c r="F497" s="16"/>
      <c r="G497" s="27"/>
      <c r="H497" s="27"/>
    </row>
    <row r="498">
      <c r="A498" s="31"/>
      <c r="B498" s="39"/>
      <c r="C498" s="37"/>
      <c r="D498" s="27"/>
      <c r="F498" s="16"/>
      <c r="G498" s="27"/>
      <c r="H498" s="27"/>
    </row>
    <row r="499">
      <c r="A499" s="31"/>
      <c r="B499" s="39"/>
      <c r="C499" s="37"/>
      <c r="D499" s="27"/>
      <c r="F499" s="16"/>
      <c r="G499" s="27"/>
      <c r="H499" s="27"/>
    </row>
    <row r="500">
      <c r="A500" s="31"/>
      <c r="B500" s="39"/>
      <c r="C500" s="37"/>
      <c r="D500" s="27"/>
      <c r="F500" s="16"/>
      <c r="G500" s="27"/>
      <c r="H500" s="27"/>
    </row>
    <row r="501">
      <c r="A501" s="31"/>
      <c r="B501" s="39"/>
      <c r="C501" s="37"/>
      <c r="D501" s="27"/>
      <c r="F501" s="16"/>
      <c r="G501" s="27"/>
      <c r="H501" s="27"/>
    </row>
    <row r="502">
      <c r="A502" s="31"/>
      <c r="B502" s="39"/>
      <c r="C502" s="37"/>
      <c r="D502" s="27"/>
      <c r="F502" s="16"/>
      <c r="G502" s="27"/>
      <c r="H502" s="27"/>
    </row>
    <row r="503">
      <c r="A503" s="31"/>
      <c r="B503" s="39"/>
      <c r="C503" s="37"/>
      <c r="D503" s="27"/>
      <c r="F503" s="16"/>
      <c r="G503" s="27"/>
      <c r="H503" s="27"/>
    </row>
    <row r="504">
      <c r="A504" s="31"/>
      <c r="B504" s="39"/>
      <c r="C504" s="37"/>
      <c r="D504" s="27"/>
      <c r="F504" s="16"/>
      <c r="G504" s="27"/>
      <c r="H504" s="27"/>
    </row>
    <row r="505">
      <c r="A505" s="31"/>
      <c r="B505" s="39"/>
      <c r="C505" s="37"/>
      <c r="D505" s="27"/>
      <c r="F505" s="16"/>
      <c r="G505" s="27"/>
      <c r="H505" s="27"/>
    </row>
    <row r="506">
      <c r="A506" s="31"/>
      <c r="B506" s="39"/>
      <c r="C506" s="37"/>
      <c r="D506" s="27"/>
      <c r="F506" s="16"/>
      <c r="G506" s="27"/>
      <c r="H506" s="27"/>
    </row>
    <row r="507">
      <c r="A507" s="31"/>
      <c r="B507" s="39"/>
      <c r="C507" s="37"/>
      <c r="D507" s="27"/>
      <c r="F507" s="16"/>
      <c r="G507" s="27"/>
      <c r="H507" s="27"/>
    </row>
    <row r="508">
      <c r="A508" s="31"/>
      <c r="B508" s="39"/>
      <c r="C508" s="37"/>
      <c r="D508" s="27"/>
      <c r="F508" s="16"/>
      <c r="G508" s="27"/>
      <c r="H508" s="27"/>
    </row>
    <row r="509">
      <c r="A509" s="31"/>
      <c r="B509" s="39"/>
      <c r="C509" s="37"/>
      <c r="D509" s="27"/>
      <c r="F509" s="16"/>
      <c r="G509" s="27"/>
      <c r="H509" s="27"/>
    </row>
    <row r="510">
      <c r="A510" s="31"/>
      <c r="B510" s="39"/>
      <c r="C510" s="37"/>
      <c r="D510" s="27"/>
      <c r="F510" s="16"/>
      <c r="G510" s="27"/>
      <c r="H510" s="27"/>
    </row>
    <row r="511">
      <c r="A511" s="31"/>
      <c r="B511" s="39"/>
      <c r="C511" s="37"/>
      <c r="D511" s="27"/>
      <c r="F511" s="16"/>
      <c r="G511" s="27"/>
      <c r="H511" s="27"/>
    </row>
    <row r="512">
      <c r="A512" s="31"/>
      <c r="B512" s="39"/>
      <c r="C512" s="37"/>
      <c r="D512" s="27"/>
      <c r="F512" s="16"/>
      <c r="G512" s="27"/>
      <c r="H512" s="27"/>
    </row>
    <row r="513">
      <c r="A513" s="31"/>
      <c r="B513" s="39"/>
      <c r="C513" s="37"/>
      <c r="D513" s="27"/>
      <c r="F513" s="16"/>
      <c r="G513" s="27"/>
      <c r="H513" s="27"/>
    </row>
    <row r="514">
      <c r="A514" s="31"/>
      <c r="B514" s="39"/>
      <c r="C514" s="37"/>
      <c r="D514" s="27"/>
      <c r="F514" s="16"/>
      <c r="G514" s="27"/>
      <c r="H514" s="27"/>
    </row>
    <row r="515">
      <c r="A515" s="31"/>
      <c r="B515" s="39"/>
      <c r="C515" s="37"/>
      <c r="D515" s="27"/>
      <c r="F515" s="16"/>
      <c r="G515" s="27"/>
      <c r="H515" s="27"/>
    </row>
    <row r="516">
      <c r="A516" s="31"/>
      <c r="B516" s="39"/>
      <c r="C516" s="37"/>
      <c r="D516" s="27"/>
      <c r="F516" s="16"/>
      <c r="G516" s="27"/>
      <c r="H516" s="27"/>
    </row>
    <row r="517">
      <c r="A517" s="31"/>
      <c r="B517" s="39"/>
      <c r="C517" s="37"/>
      <c r="D517" s="27"/>
      <c r="F517" s="16"/>
      <c r="G517" s="27"/>
      <c r="H517" s="27"/>
    </row>
    <row r="518">
      <c r="A518" s="31"/>
      <c r="B518" s="39"/>
      <c r="C518" s="37"/>
      <c r="D518" s="27"/>
      <c r="F518" s="16"/>
      <c r="G518" s="27"/>
      <c r="H518" s="27"/>
    </row>
    <row r="519">
      <c r="A519" s="31"/>
      <c r="B519" s="39"/>
      <c r="C519" s="37"/>
      <c r="D519" s="27"/>
      <c r="F519" s="16"/>
      <c r="G519" s="27"/>
      <c r="H519" s="27"/>
    </row>
    <row r="520">
      <c r="A520" s="31"/>
      <c r="B520" s="39"/>
      <c r="C520" s="37"/>
      <c r="D520" s="27"/>
      <c r="F520" s="16"/>
      <c r="G520" s="27"/>
      <c r="H520" s="27"/>
    </row>
    <row r="521">
      <c r="A521" s="31"/>
      <c r="B521" s="39"/>
      <c r="C521" s="37"/>
      <c r="D521" s="27"/>
      <c r="F521" s="16"/>
      <c r="G521" s="27"/>
      <c r="H521" s="27"/>
    </row>
    <row r="522">
      <c r="A522" s="31"/>
      <c r="B522" s="39"/>
      <c r="C522" s="37"/>
      <c r="D522" s="27"/>
      <c r="F522" s="16"/>
      <c r="G522" s="27"/>
      <c r="H522" s="27"/>
    </row>
    <row r="523">
      <c r="A523" s="31"/>
      <c r="B523" s="39"/>
      <c r="C523" s="37"/>
      <c r="D523" s="27"/>
      <c r="F523" s="16"/>
      <c r="G523" s="27"/>
      <c r="H523" s="27"/>
    </row>
    <row r="524">
      <c r="A524" s="31"/>
      <c r="B524" s="39"/>
      <c r="C524" s="37"/>
      <c r="D524" s="27"/>
      <c r="F524" s="16"/>
      <c r="G524" s="27"/>
      <c r="H524" s="27"/>
    </row>
    <row r="525">
      <c r="A525" s="31"/>
      <c r="B525" s="39"/>
      <c r="C525" s="37"/>
      <c r="D525" s="27"/>
      <c r="F525" s="16"/>
      <c r="G525" s="27"/>
      <c r="H525" s="27"/>
    </row>
    <row r="526">
      <c r="A526" s="31"/>
      <c r="B526" s="39"/>
      <c r="C526" s="37"/>
      <c r="D526" s="27"/>
      <c r="F526" s="16"/>
      <c r="G526" s="27"/>
      <c r="H526" s="27"/>
    </row>
    <row r="527">
      <c r="A527" s="31"/>
      <c r="B527" s="39"/>
      <c r="C527" s="37"/>
      <c r="D527" s="27"/>
      <c r="F527" s="16"/>
      <c r="G527" s="27"/>
      <c r="H527" s="27"/>
    </row>
    <row r="528">
      <c r="A528" s="31"/>
      <c r="B528" s="39"/>
      <c r="C528" s="37"/>
      <c r="D528" s="27"/>
      <c r="F528" s="16"/>
      <c r="G528" s="27"/>
      <c r="H528" s="27"/>
    </row>
    <row r="529">
      <c r="A529" s="31"/>
      <c r="B529" s="39"/>
      <c r="C529" s="37"/>
      <c r="D529" s="27"/>
      <c r="F529" s="16"/>
      <c r="G529" s="27"/>
      <c r="H529" s="27"/>
    </row>
    <row r="530">
      <c r="A530" s="31"/>
      <c r="B530" s="39"/>
      <c r="C530" s="37"/>
      <c r="D530" s="27"/>
      <c r="F530" s="16"/>
      <c r="G530" s="27"/>
      <c r="H530" s="27"/>
    </row>
    <row r="531">
      <c r="A531" s="31"/>
      <c r="B531" s="39"/>
      <c r="C531" s="37"/>
      <c r="D531" s="27"/>
      <c r="F531" s="16"/>
      <c r="G531" s="27"/>
      <c r="H531" s="27"/>
    </row>
    <row r="532">
      <c r="A532" s="31"/>
      <c r="B532" s="39"/>
      <c r="C532" s="37"/>
      <c r="D532" s="27"/>
      <c r="F532" s="16"/>
      <c r="G532" s="27"/>
      <c r="H532" s="27"/>
    </row>
    <row r="533">
      <c r="A533" s="31"/>
      <c r="B533" s="39"/>
      <c r="C533" s="37"/>
      <c r="D533" s="27"/>
      <c r="F533" s="16"/>
      <c r="G533" s="27"/>
      <c r="H533" s="27"/>
    </row>
    <row r="534">
      <c r="A534" s="31"/>
      <c r="B534" s="39"/>
      <c r="C534" s="37"/>
      <c r="D534" s="27"/>
      <c r="F534" s="16"/>
      <c r="G534" s="27"/>
      <c r="H534" s="27"/>
    </row>
    <row r="535">
      <c r="A535" s="31"/>
      <c r="B535" s="39"/>
      <c r="C535" s="37"/>
      <c r="D535" s="27"/>
      <c r="F535" s="16"/>
      <c r="G535" s="27"/>
      <c r="H535" s="27"/>
    </row>
    <row r="536">
      <c r="A536" s="31"/>
      <c r="B536" s="39"/>
      <c r="C536" s="37"/>
      <c r="D536" s="27"/>
      <c r="F536" s="16"/>
      <c r="G536" s="27"/>
      <c r="H536" s="27"/>
    </row>
    <row r="537">
      <c r="A537" s="31"/>
      <c r="B537" s="39"/>
      <c r="C537" s="37"/>
      <c r="D537" s="27"/>
      <c r="F537" s="16"/>
      <c r="G537" s="27"/>
      <c r="H537" s="27"/>
    </row>
    <row r="538">
      <c r="A538" s="31"/>
      <c r="B538" s="39"/>
      <c r="C538" s="37"/>
      <c r="D538" s="27"/>
      <c r="F538" s="16"/>
      <c r="G538" s="27"/>
      <c r="H538" s="27"/>
    </row>
    <row r="539">
      <c r="A539" s="31"/>
      <c r="B539" s="39"/>
      <c r="C539" s="37"/>
      <c r="D539" s="27"/>
      <c r="F539" s="16"/>
      <c r="G539" s="27"/>
      <c r="H539" s="27"/>
    </row>
    <row r="540">
      <c r="A540" s="31"/>
      <c r="B540" s="39"/>
      <c r="C540" s="37"/>
      <c r="D540" s="27"/>
      <c r="F540" s="16"/>
      <c r="G540" s="27"/>
      <c r="H540" s="27"/>
    </row>
    <row r="541">
      <c r="A541" s="31"/>
      <c r="B541" s="39"/>
      <c r="C541" s="37"/>
      <c r="D541" s="27"/>
      <c r="F541" s="16"/>
      <c r="G541" s="27"/>
      <c r="H541" s="27"/>
    </row>
    <row r="542">
      <c r="A542" s="31"/>
      <c r="B542" s="39"/>
      <c r="C542" s="37"/>
      <c r="D542" s="27"/>
      <c r="F542" s="16"/>
      <c r="G542" s="27"/>
      <c r="H542" s="27"/>
    </row>
    <row r="543">
      <c r="A543" s="31"/>
      <c r="B543" s="39"/>
      <c r="C543" s="37"/>
      <c r="D543" s="27"/>
      <c r="F543" s="16"/>
      <c r="G543" s="27"/>
      <c r="H543" s="27"/>
    </row>
    <row r="544">
      <c r="A544" s="31"/>
      <c r="B544" s="39"/>
      <c r="C544" s="37"/>
      <c r="D544" s="27"/>
      <c r="F544" s="16"/>
      <c r="G544" s="27"/>
      <c r="H544" s="27"/>
    </row>
    <row r="545">
      <c r="A545" s="31"/>
      <c r="B545" s="39"/>
      <c r="C545" s="37"/>
      <c r="D545" s="27"/>
      <c r="F545" s="16"/>
      <c r="G545" s="27"/>
      <c r="H545" s="27"/>
    </row>
    <row r="546">
      <c r="A546" s="31"/>
      <c r="B546" s="39"/>
      <c r="C546" s="37"/>
      <c r="D546" s="27"/>
      <c r="F546" s="16"/>
      <c r="G546" s="27"/>
      <c r="H546" s="27"/>
    </row>
    <row r="547">
      <c r="A547" s="31"/>
      <c r="B547" s="39"/>
      <c r="C547" s="37"/>
      <c r="D547" s="27"/>
      <c r="F547" s="16"/>
      <c r="G547" s="27"/>
      <c r="H547" s="27"/>
    </row>
    <row r="548">
      <c r="A548" s="31"/>
      <c r="B548" s="39"/>
      <c r="C548" s="37"/>
      <c r="D548" s="27"/>
      <c r="F548" s="16"/>
      <c r="G548" s="27"/>
      <c r="H548" s="27"/>
    </row>
    <row r="549">
      <c r="A549" s="31"/>
      <c r="B549" s="39"/>
      <c r="C549" s="37"/>
      <c r="D549" s="27"/>
      <c r="F549" s="16"/>
      <c r="G549" s="27"/>
      <c r="H549" s="27"/>
    </row>
    <row r="550">
      <c r="A550" s="31"/>
      <c r="B550" s="39"/>
      <c r="C550" s="37"/>
      <c r="D550" s="27"/>
      <c r="F550" s="16"/>
      <c r="G550" s="27"/>
      <c r="H550" s="27"/>
    </row>
    <row r="551">
      <c r="A551" s="31"/>
      <c r="B551" s="39"/>
      <c r="C551" s="37"/>
      <c r="D551" s="27"/>
      <c r="F551" s="16"/>
      <c r="G551" s="27"/>
      <c r="H551" s="27"/>
    </row>
    <row r="552">
      <c r="A552" s="31"/>
      <c r="B552" s="39"/>
      <c r="C552" s="37"/>
      <c r="D552" s="27"/>
      <c r="F552" s="16"/>
      <c r="G552" s="27"/>
      <c r="H552" s="27"/>
    </row>
    <row r="553">
      <c r="A553" s="31"/>
      <c r="B553" s="39"/>
      <c r="C553" s="37"/>
      <c r="D553" s="27"/>
      <c r="F553" s="16"/>
      <c r="G553" s="27"/>
      <c r="H553" s="27"/>
    </row>
    <row r="554">
      <c r="A554" s="31"/>
      <c r="B554" s="39"/>
      <c r="C554" s="37"/>
      <c r="D554" s="27"/>
      <c r="F554" s="16"/>
      <c r="G554" s="27"/>
      <c r="H554" s="27"/>
    </row>
    <row r="555">
      <c r="A555" s="31"/>
      <c r="B555" s="39"/>
      <c r="C555" s="37"/>
      <c r="D555" s="27"/>
      <c r="F555" s="16"/>
      <c r="G555" s="27"/>
      <c r="H555" s="27"/>
    </row>
    <row r="556">
      <c r="A556" s="31"/>
      <c r="B556" s="39"/>
      <c r="C556" s="37"/>
      <c r="D556" s="27"/>
      <c r="F556" s="16"/>
      <c r="G556" s="27"/>
      <c r="H556" s="27"/>
    </row>
    <row r="557">
      <c r="A557" s="31"/>
      <c r="B557" s="39"/>
      <c r="C557" s="37"/>
      <c r="D557" s="27"/>
      <c r="F557" s="16"/>
      <c r="G557" s="27"/>
      <c r="H557" s="27"/>
    </row>
    <row r="558">
      <c r="A558" s="31"/>
      <c r="B558" s="39"/>
      <c r="C558" s="37"/>
      <c r="D558" s="27"/>
      <c r="F558" s="16"/>
      <c r="G558" s="27"/>
      <c r="H558" s="27"/>
    </row>
    <row r="559">
      <c r="A559" s="31"/>
      <c r="B559" s="39"/>
      <c r="C559" s="37"/>
      <c r="D559" s="27"/>
      <c r="F559" s="16"/>
      <c r="G559" s="27"/>
      <c r="H559" s="27"/>
    </row>
    <row r="560">
      <c r="A560" s="31"/>
      <c r="B560" s="39"/>
      <c r="C560" s="37"/>
      <c r="D560" s="27"/>
      <c r="F560" s="16"/>
      <c r="G560" s="27"/>
      <c r="H560" s="27"/>
    </row>
    <row r="561">
      <c r="A561" s="31"/>
      <c r="B561" s="39"/>
      <c r="C561" s="37"/>
      <c r="D561" s="27"/>
      <c r="F561" s="16"/>
      <c r="G561" s="27"/>
      <c r="H561" s="27"/>
    </row>
    <row r="562">
      <c r="A562" s="31"/>
      <c r="B562" s="39"/>
      <c r="C562" s="37"/>
      <c r="D562" s="27"/>
      <c r="F562" s="16"/>
      <c r="G562" s="27"/>
      <c r="H562" s="27"/>
    </row>
    <row r="563">
      <c r="A563" s="31"/>
      <c r="B563" s="39"/>
      <c r="C563" s="37"/>
      <c r="D563" s="27"/>
      <c r="F563" s="16"/>
      <c r="G563" s="27"/>
      <c r="H563" s="27"/>
    </row>
    <row r="564">
      <c r="A564" s="31"/>
      <c r="B564" s="39"/>
      <c r="C564" s="37"/>
      <c r="D564" s="27"/>
      <c r="F564" s="16"/>
      <c r="G564" s="27"/>
      <c r="H564" s="27"/>
    </row>
    <row r="565">
      <c r="A565" s="31"/>
      <c r="B565" s="39"/>
      <c r="C565" s="37"/>
      <c r="D565" s="27"/>
      <c r="F565" s="16"/>
      <c r="G565" s="27"/>
      <c r="H565" s="27"/>
    </row>
    <row r="566">
      <c r="A566" s="31"/>
      <c r="B566" s="39"/>
      <c r="C566" s="37"/>
      <c r="D566" s="27"/>
      <c r="F566" s="16"/>
      <c r="G566" s="27"/>
      <c r="H566" s="27"/>
    </row>
    <row r="567">
      <c r="A567" s="31"/>
      <c r="B567" s="39"/>
      <c r="C567" s="37"/>
      <c r="D567" s="27"/>
      <c r="F567" s="16"/>
      <c r="G567" s="27"/>
      <c r="H567" s="27"/>
    </row>
    <row r="568">
      <c r="A568" s="31"/>
      <c r="B568" s="39"/>
      <c r="C568" s="37"/>
      <c r="D568" s="27"/>
      <c r="F568" s="16"/>
      <c r="G568" s="27"/>
      <c r="H568" s="27"/>
    </row>
    <row r="569">
      <c r="A569" s="31"/>
      <c r="B569" s="39"/>
      <c r="C569" s="37"/>
      <c r="D569" s="27"/>
      <c r="F569" s="16"/>
      <c r="G569" s="27"/>
      <c r="H569" s="27"/>
    </row>
    <row r="570">
      <c r="A570" s="31"/>
      <c r="B570" s="39"/>
      <c r="C570" s="37"/>
      <c r="D570" s="27"/>
      <c r="F570" s="16"/>
      <c r="G570" s="27"/>
      <c r="H570" s="27"/>
    </row>
    <row r="571">
      <c r="A571" s="31"/>
      <c r="B571" s="39"/>
      <c r="C571" s="37"/>
      <c r="D571" s="27"/>
      <c r="F571" s="16"/>
      <c r="G571" s="27"/>
      <c r="H571" s="27"/>
    </row>
    <row r="572">
      <c r="A572" s="31"/>
      <c r="B572" s="39"/>
      <c r="C572" s="37"/>
      <c r="D572" s="27"/>
      <c r="F572" s="16"/>
      <c r="G572" s="27"/>
      <c r="H572" s="27"/>
    </row>
    <row r="573">
      <c r="A573" s="31"/>
      <c r="B573" s="39"/>
      <c r="C573" s="37"/>
      <c r="D573" s="27"/>
      <c r="F573" s="16"/>
      <c r="G573" s="27"/>
      <c r="H573" s="27"/>
    </row>
    <row r="574">
      <c r="A574" s="31"/>
      <c r="B574" s="39"/>
      <c r="C574" s="37"/>
      <c r="D574" s="27"/>
      <c r="F574" s="16"/>
      <c r="G574" s="27"/>
      <c r="H574" s="27"/>
    </row>
    <row r="575">
      <c r="A575" s="31"/>
      <c r="B575" s="39"/>
      <c r="C575" s="37"/>
      <c r="D575" s="27"/>
      <c r="F575" s="16"/>
      <c r="G575" s="27"/>
      <c r="H575" s="27"/>
    </row>
    <row r="576">
      <c r="A576" s="31"/>
      <c r="B576" s="39"/>
      <c r="C576" s="37"/>
      <c r="D576" s="27"/>
      <c r="F576" s="16"/>
      <c r="G576" s="27"/>
      <c r="H576" s="27"/>
    </row>
    <row r="577">
      <c r="A577" s="31"/>
      <c r="B577" s="39"/>
      <c r="C577" s="37"/>
      <c r="D577" s="27"/>
      <c r="F577" s="16"/>
      <c r="G577" s="27"/>
      <c r="H577" s="27"/>
    </row>
    <row r="578">
      <c r="A578" s="31"/>
      <c r="B578" s="39"/>
      <c r="C578" s="37"/>
      <c r="D578" s="27"/>
      <c r="F578" s="16"/>
      <c r="G578" s="27"/>
      <c r="H578" s="27"/>
    </row>
    <row r="579">
      <c r="A579" s="31"/>
      <c r="B579" s="39"/>
      <c r="C579" s="37"/>
      <c r="D579" s="27"/>
      <c r="F579" s="16"/>
      <c r="G579" s="27"/>
      <c r="H579" s="27"/>
    </row>
    <row r="580">
      <c r="A580" s="31"/>
      <c r="B580" s="39"/>
      <c r="C580" s="37"/>
      <c r="D580" s="27"/>
      <c r="F580" s="16"/>
      <c r="G580" s="27"/>
      <c r="H580" s="27"/>
    </row>
    <row r="581">
      <c r="A581" s="31"/>
      <c r="B581" s="39"/>
      <c r="C581" s="37"/>
      <c r="D581" s="27"/>
      <c r="F581" s="16"/>
      <c r="G581" s="27"/>
      <c r="H581" s="27"/>
    </row>
    <row r="582">
      <c r="A582" s="31"/>
      <c r="B582" s="39"/>
      <c r="C582" s="37"/>
      <c r="D582" s="27"/>
      <c r="F582" s="16"/>
      <c r="G582" s="27"/>
      <c r="H582" s="27"/>
    </row>
    <row r="583">
      <c r="A583" s="31"/>
      <c r="B583" s="39"/>
      <c r="C583" s="37"/>
      <c r="D583" s="27"/>
      <c r="F583" s="16"/>
      <c r="G583" s="27"/>
      <c r="H583" s="27"/>
    </row>
    <row r="584">
      <c r="A584" s="31"/>
      <c r="B584" s="39"/>
      <c r="C584" s="37"/>
      <c r="D584" s="27"/>
      <c r="F584" s="16"/>
      <c r="G584" s="27"/>
      <c r="H584" s="27"/>
    </row>
    <row r="585">
      <c r="A585" s="31"/>
      <c r="B585" s="39"/>
      <c r="C585" s="37"/>
      <c r="D585" s="27"/>
      <c r="F585" s="16"/>
      <c r="G585" s="27"/>
      <c r="H585" s="27"/>
    </row>
    <row r="586">
      <c r="A586" s="31"/>
      <c r="B586" s="39"/>
      <c r="C586" s="37"/>
      <c r="D586" s="27"/>
      <c r="F586" s="16"/>
      <c r="G586" s="27"/>
      <c r="H586" s="27"/>
    </row>
    <row r="587">
      <c r="A587" s="31"/>
      <c r="B587" s="39"/>
      <c r="C587" s="37"/>
      <c r="D587" s="27"/>
      <c r="F587" s="16"/>
      <c r="G587" s="27"/>
      <c r="H587" s="27"/>
    </row>
    <row r="588">
      <c r="A588" s="31"/>
      <c r="B588" s="39"/>
      <c r="C588" s="37"/>
      <c r="D588" s="27"/>
      <c r="F588" s="16"/>
      <c r="G588" s="27"/>
      <c r="H588" s="27"/>
    </row>
    <row r="589">
      <c r="A589" s="31"/>
      <c r="B589" s="39"/>
      <c r="C589" s="37"/>
      <c r="D589" s="27"/>
      <c r="F589" s="16"/>
      <c r="G589" s="27"/>
      <c r="H589" s="27"/>
    </row>
    <row r="590">
      <c r="A590" s="31"/>
      <c r="B590" s="39"/>
      <c r="C590" s="37"/>
      <c r="D590" s="27"/>
      <c r="F590" s="16"/>
      <c r="G590" s="27"/>
      <c r="H590" s="27"/>
    </row>
    <row r="591">
      <c r="A591" s="31"/>
      <c r="B591" s="39"/>
      <c r="C591" s="37"/>
      <c r="D591" s="27"/>
      <c r="F591" s="16"/>
      <c r="G591" s="27"/>
      <c r="H591" s="27"/>
    </row>
    <row r="592">
      <c r="A592" s="31"/>
      <c r="B592" s="39"/>
      <c r="C592" s="37"/>
      <c r="D592" s="27"/>
      <c r="F592" s="16"/>
      <c r="G592" s="27"/>
      <c r="H592" s="27"/>
    </row>
    <row r="593">
      <c r="A593" s="31"/>
      <c r="B593" s="39"/>
      <c r="C593" s="37"/>
      <c r="D593" s="27"/>
      <c r="F593" s="16"/>
      <c r="G593" s="27"/>
      <c r="H593" s="27"/>
    </row>
    <row r="594">
      <c r="A594" s="31"/>
      <c r="B594" s="39"/>
      <c r="C594" s="37"/>
      <c r="D594" s="27"/>
      <c r="F594" s="16"/>
      <c r="G594" s="27"/>
      <c r="H594" s="27"/>
    </row>
    <row r="595">
      <c r="A595" s="31"/>
      <c r="B595" s="39"/>
      <c r="C595" s="37"/>
      <c r="D595" s="27"/>
      <c r="F595" s="16"/>
      <c r="G595" s="27"/>
      <c r="H595" s="27"/>
    </row>
    <row r="596">
      <c r="A596" s="31"/>
      <c r="B596" s="39"/>
      <c r="C596" s="37"/>
      <c r="D596" s="27"/>
      <c r="F596" s="16"/>
      <c r="G596" s="27"/>
      <c r="H596" s="27"/>
    </row>
    <row r="597">
      <c r="A597" s="31"/>
      <c r="B597" s="39"/>
      <c r="C597" s="37"/>
      <c r="D597" s="27"/>
      <c r="F597" s="16"/>
      <c r="G597" s="27"/>
      <c r="H597" s="27"/>
    </row>
    <row r="598">
      <c r="A598" s="31"/>
      <c r="B598" s="39"/>
      <c r="C598" s="37"/>
      <c r="D598" s="27"/>
      <c r="F598" s="16"/>
      <c r="G598" s="27"/>
      <c r="H598" s="27"/>
    </row>
    <row r="599">
      <c r="A599" s="31"/>
      <c r="B599" s="39"/>
      <c r="C599" s="37"/>
      <c r="D599" s="27"/>
      <c r="F599" s="16"/>
      <c r="G599" s="27"/>
      <c r="H599" s="27"/>
    </row>
    <row r="600">
      <c r="A600" s="31"/>
      <c r="B600" s="39"/>
      <c r="C600" s="37"/>
      <c r="D600" s="27"/>
      <c r="F600" s="16"/>
      <c r="G600" s="27"/>
      <c r="H600" s="27"/>
    </row>
    <row r="601">
      <c r="A601" s="31"/>
      <c r="B601" s="39"/>
      <c r="C601" s="37"/>
      <c r="D601" s="27"/>
      <c r="F601" s="16"/>
      <c r="G601" s="27"/>
      <c r="H601" s="27"/>
    </row>
    <row r="602">
      <c r="A602" s="31"/>
      <c r="B602" s="39"/>
      <c r="C602" s="37"/>
      <c r="D602" s="27"/>
      <c r="F602" s="16"/>
      <c r="G602" s="27"/>
      <c r="H602" s="27"/>
    </row>
    <row r="603">
      <c r="A603" s="31"/>
      <c r="B603" s="39"/>
      <c r="C603" s="37"/>
      <c r="D603" s="27"/>
      <c r="F603" s="16"/>
      <c r="G603" s="27"/>
      <c r="H603" s="27"/>
    </row>
    <row r="604">
      <c r="A604" s="31"/>
      <c r="B604" s="39"/>
      <c r="C604" s="37"/>
      <c r="D604" s="27"/>
      <c r="F604" s="16"/>
      <c r="G604" s="27"/>
      <c r="H604" s="27"/>
    </row>
    <row r="605">
      <c r="A605" s="31"/>
      <c r="B605" s="39"/>
      <c r="C605" s="37"/>
      <c r="D605" s="27"/>
      <c r="F605" s="16"/>
      <c r="G605" s="27"/>
      <c r="H605" s="27"/>
    </row>
    <row r="606">
      <c r="A606" s="31"/>
      <c r="B606" s="39"/>
      <c r="C606" s="37"/>
      <c r="D606" s="27"/>
      <c r="F606" s="16"/>
      <c r="G606" s="27"/>
      <c r="H606" s="27"/>
    </row>
    <row r="607">
      <c r="A607" s="31"/>
      <c r="B607" s="39"/>
      <c r="C607" s="37"/>
      <c r="D607" s="27"/>
      <c r="F607" s="16"/>
      <c r="G607" s="27"/>
      <c r="H607" s="27"/>
    </row>
    <row r="608">
      <c r="A608" s="31"/>
      <c r="B608" s="39"/>
      <c r="C608" s="37"/>
      <c r="D608" s="27"/>
      <c r="F608" s="16"/>
      <c r="G608" s="27"/>
      <c r="H608" s="27"/>
    </row>
    <row r="609">
      <c r="A609" s="31"/>
      <c r="B609" s="39"/>
      <c r="C609" s="37"/>
      <c r="D609" s="27"/>
      <c r="F609" s="16"/>
      <c r="G609" s="27"/>
      <c r="H609" s="27"/>
    </row>
    <row r="610">
      <c r="A610" s="31"/>
      <c r="B610" s="39"/>
      <c r="C610" s="37"/>
      <c r="D610" s="27"/>
      <c r="F610" s="16"/>
      <c r="G610" s="27"/>
      <c r="H610" s="27"/>
    </row>
    <row r="611">
      <c r="A611" s="31"/>
      <c r="B611" s="39"/>
      <c r="C611" s="37"/>
      <c r="D611" s="27"/>
      <c r="F611" s="16"/>
      <c r="G611" s="27"/>
      <c r="H611" s="27"/>
    </row>
    <row r="612">
      <c r="A612" s="31"/>
      <c r="B612" s="39"/>
      <c r="C612" s="37"/>
      <c r="D612" s="27"/>
      <c r="F612" s="16"/>
      <c r="G612" s="27"/>
      <c r="H612" s="27"/>
    </row>
    <row r="613">
      <c r="A613" s="31"/>
      <c r="B613" s="39"/>
      <c r="C613" s="37"/>
      <c r="D613" s="27"/>
      <c r="F613" s="16"/>
      <c r="G613" s="27"/>
      <c r="H613" s="27"/>
    </row>
    <row r="614">
      <c r="A614" s="31"/>
      <c r="B614" s="39"/>
      <c r="C614" s="37"/>
      <c r="D614" s="27"/>
      <c r="F614" s="16"/>
      <c r="G614" s="27"/>
      <c r="H614" s="27"/>
    </row>
    <row r="615">
      <c r="A615" s="31"/>
      <c r="B615" s="39"/>
      <c r="C615" s="37"/>
      <c r="D615" s="27"/>
      <c r="F615" s="16"/>
      <c r="G615" s="27"/>
      <c r="H615" s="27"/>
    </row>
    <row r="616">
      <c r="A616" s="31"/>
      <c r="B616" s="39"/>
      <c r="C616" s="37"/>
      <c r="D616" s="27"/>
      <c r="F616" s="16"/>
      <c r="G616" s="27"/>
      <c r="H616" s="27"/>
    </row>
    <row r="617">
      <c r="A617" s="31"/>
      <c r="B617" s="39"/>
      <c r="C617" s="37"/>
      <c r="D617" s="27"/>
      <c r="F617" s="16"/>
      <c r="G617" s="27"/>
      <c r="H617" s="27"/>
    </row>
    <row r="618">
      <c r="A618" s="31"/>
      <c r="B618" s="39"/>
      <c r="C618" s="37"/>
      <c r="D618" s="27"/>
      <c r="F618" s="16"/>
      <c r="G618" s="27"/>
      <c r="H618" s="27"/>
    </row>
    <row r="619">
      <c r="A619" s="31"/>
      <c r="B619" s="39"/>
      <c r="C619" s="37"/>
      <c r="D619" s="27"/>
      <c r="F619" s="16"/>
      <c r="G619" s="27"/>
      <c r="H619" s="27"/>
    </row>
    <row r="620">
      <c r="A620" s="31"/>
      <c r="B620" s="39"/>
      <c r="C620" s="37"/>
      <c r="D620" s="27"/>
      <c r="F620" s="16"/>
      <c r="G620" s="27"/>
      <c r="H620" s="27"/>
    </row>
    <row r="621">
      <c r="A621" s="31"/>
      <c r="B621" s="39"/>
      <c r="C621" s="37"/>
      <c r="D621" s="27"/>
      <c r="F621" s="16"/>
      <c r="G621" s="27"/>
      <c r="H621" s="27"/>
    </row>
    <row r="622">
      <c r="A622" s="31"/>
      <c r="B622" s="39"/>
      <c r="C622" s="37"/>
      <c r="D622" s="27"/>
      <c r="F622" s="16"/>
      <c r="G622" s="27"/>
      <c r="H622" s="27"/>
    </row>
    <row r="623">
      <c r="A623" s="31"/>
      <c r="B623" s="39"/>
      <c r="C623" s="37"/>
      <c r="D623" s="27"/>
      <c r="F623" s="16"/>
      <c r="G623" s="27"/>
      <c r="H623" s="27"/>
    </row>
    <row r="624">
      <c r="A624" s="31"/>
      <c r="B624" s="39"/>
      <c r="C624" s="37"/>
      <c r="D624" s="27"/>
      <c r="F624" s="16"/>
      <c r="G624" s="27"/>
      <c r="H624" s="27"/>
    </row>
    <row r="625">
      <c r="A625" s="31"/>
      <c r="B625" s="39"/>
      <c r="C625" s="37"/>
      <c r="D625" s="27"/>
      <c r="F625" s="16"/>
      <c r="G625" s="27"/>
      <c r="H625" s="27"/>
    </row>
    <row r="626">
      <c r="A626" s="31"/>
      <c r="B626" s="39"/>
      <c r="C626" s="37"/>
      <c r="D626" s="27"/>
      <c r="F626" s="16"/>
      <c r="G626" s="27"/>
      <c r="H626" s="27"/>
    </row>
    <row r="627">
      <c r="A627" s="31"/>
      <c r="B627" s="39"/>
      <c r="C627" s="37"/>
      <c r="D627" s="27"/>
      <c r="F627" s="16"/>
      <c r="G627" s="27"/>
      <c r="H627" s="27"/>
    </row>
    <row r="628">
      <c r="A628" s="31"/>
      <c r="B628" s="39"/>
      <c r="C628" s="37"/>
      <c r="D628" s="27"/>
      <c r="F628" s="16"/>
      <c r="G628" s="27"/>
      <c r="H628" s="27"/>
    </row>
    <row r="629">
      <c r="A629" s="31"/>
      <c r="B629" s="39"/>
      <c r="C629" s="37"/>
      <c r="D629" s="27"/>
      <c r="F629" s="16"/>
      <c r="G629" s="27"/>
      <c r="H629" s="27"/>
    </row>
    <row r="630">
      <c r="A630" s="31"/>
      <c r="B630" s="39"/>
      <c r="C630" s="37"/>
      <c r="D630" s="27"/>
      <c r="F630" s="16"/>
      <c r="G630" s="27"/>
      <c r="H630" s="27"/>
    </row>
    <row r="631">
      <c r="A631" s="31"/>
      <c r="B631" s="39"/>
      <c r="C631" s="37"/>
      <c r="D631" s="27"/>
      <c r="F631" s="16"/>
      <c r="G631" s="27"/>
      <c r="H631" s="27"/>
    </row>
    <row r="632">
      <c r="A632" s="31"/>
      <c r="B632" s="39"/>
      <c r="C632" s="37"/>
      <c r="D632" s="27"/>
      <c r="F632" s="16"/>
      <c r="G632" s="27"/>
      <c r="H632" s="27"/>
    </row>
    <row r="633">
      <c r="A633" s="31"/>
      <c r="B633" s="39"/>
      <c r="C633" s="37"/>
      <c r="D633" s="27"/>
      <c r="F633" s="16"/>
      <c r="G633" s="27"/>
      <c r="H633" s="27"/>
    </row>
    <row r="634">
      <c r="A634" s="31"/>
      <c r="B634" s="39"/>
      <c r="C634" s="37"/>
      <c r="D634" s="27"/>
      <c r="F634" s="16"/>
      <c r="G634" s="27"/>
      <c r="H634" s="27"/>
    </row>
    <row r="635">
      <c r="A635" s="31"/>
      <c r="B635" s="39"/>
      <c r="C635" s="37"/>
      <c r="D635" s="27"/>
      <c r="F635" s="16"/>
      <c r="G635" s="27"/>
      <c r="H635" s="27"/>
    </row>
    <row r="636">
      <c r="A636" s="31"/>
      <c r="B636" s="39"/>
      <c r="C636" s="37"/>
      <c r="D636" s="27"/>
      <c r="F636" s="16"/>
      <c r="G636" s="27"/>
      <c r="H636" s="27"/>
    </row>
    <row r="637">
      <c r="A637" s="31"/>
      <c r="B637" s="39"/>
      <c r="C637" s="37"/>
      <c r="D637" s="27"/>
      <c r="F637" s="16"/>
      <c r="G637" s="27"/>
      <c r="H637" s="27"/>
    </row>
    <row r="638">
      <c r="A638" s="31"/>
      <c r="B638" s="39"/>
      <c r="C638" s="37"/>
      <c r="D638" s="27"/>
      <c r="F638" s="16"/>
      <c r="G638" s="27"/>
      <c r="H638" s="27"/>
    </row>
    <row r="639">
      <c r="A639" s="31"/>
      <c r="B639" s="39"/>
      <c r="C639" s="37"/>
      <c r="D639" s="27"/>
      <c r="F639" s="16"/>
      <c r="G639" s="27"/>
      <c r="H639" s="27"/>
    </row>
    <row r="640">
      <c r="A640" s="31"/>
      <c r="B640" s="39"/>
      <c r="C640" s="37"/>
      <c r="D640" s="27"/>
      <c r="F640" s="16"/>
      <c r="G640" s="27"/>
      <c r="H640" s="27"/>
    </row>
    <row r="641">
      <c r="A641" s="31"/>
      <c r="B641" s="39"/>
      <c r="C641" s="37"/>
      <c r="D641" s="27"/>
      <c r="F641" s="16"/>
      <c r="G641" s="27"/>
      <c r="H641" s="27"/>
    </row>
    <row r="642">
      <c r="A642" s="31"/>
      <c r="B642" s="39"/>
      <c r="C642" s="37"/>
      <c r="D642" s="27"/>
      <c r="F642" s="16"/>
      <c r="G642" s="27"/>
      <c r="H642" s="27"/>
    </row>
    <row r="643">
      <c r="A643" s="31"/>
      <c r="B643" s="39"/>
      <c r="C643" s="37"/>
      <c r="D643" s="27"/>
      <c r="F643" s="16"/>
      <c r="G643" s="27"/>
      <c r="H643" s="27"/>
    </row>
    <row r="644">
      <c r="A644" s="31"/>
      <c r="B644" s="39"/>
      <c r="C644" s="37"/>
      <c r="D644" s="27"/>
      <c r="F644" s="16"/>
      <c r="G644" s="27"/>
      <c r="H644" s="27"/>
    </row>
    <row r="645">
      <c r="A645" s="31"/>
      <c r="B645" s="39"/>
      <c r="C645" s="37"/>
      <c r="D645" s="27"/>
      <c r="F645" s="16"/>
      <c r="G645" s="27"/>
      <c r="H645" s="27"/>
    </row>
    <row r="646">
      <c r="A646" s="31"/>
      <c r="B646" s="39"/>
      <c r="C646" s="37"/>
      <c r="D646" s="27"/>
      <c r="F646" s="16"/>
      <c r="G646" s="27"/>
      <c r="H646" s="27"/>
    </row>
    <row r="647">
      <c r="A647" s="31"/>
      <c r="B647" s="39"/>
      <c r="C647" s="37"/>
      <c r="D647" s="27"/>
      <c r="F647" s="16"/>
      <c r="G647" s="27"/>
      <c r="H647" s="27"/>
    </row>
    <row r="648">
      <c r="A648" s="31"/>
      <c r="B648" s="39"/>
      <c r="C648" s="37"/>
      <c r="D648" s="27"/>
      <c r="F648" s="16"/>
      <c r="G648" s="27"/>
      <c r="H648" s="27"/>
    </row>
    <row r="649">
      <c r="A649" s="31"/>
      <c r="B649" s="39"/>
      <c r="C649" s="37"/>
      <c r="D649" s="27"/>
      <c r="F649" s="16"/>
      <c r="G649" s="27"/>
      <c r="H649" s="27"/>
    </row>
    <row r="650">
      <c r="A650" s="31"/>
      <c r="B650" s="39"/>
      <c r="C650" s="37"/>
      <c r="D650" s="27"/>
      <c r="F650" s="16"/>
      <c r="G650" s="27"/>
      <c r="H650" s="27"/>
    </row>
    <row r="651">
      <c r="A651" s="31"/>
      <c r="B651" s="39"/>
      <c r="C651" s="37"/>
      <c r="D651" s="27"/>
      <c r="F651" s="16"/>
      <c r="G651" s="27"/>
      <c r="H651" s="27"/>
    </row>
    <row r="652">
      <c r="A652" s="31"/>
      <c r="B652" s="39"/>
      <c r="C652" s="37"/>
      <c r="D652" s="27"/>
      <c r="F652" s="16"/>
      <c r="G652" s="27"/>
      <c r="H652" s="27"/>
    </row>
    <row r="653">
      <c r="A653" s="31"/>
      <c r="B653" s="39"/>
      <c r="C653" s="37"/>
      <c r="D653" s="27"/>
      <c r="F653" s="16"/>
      <c r="G653" s="27"/>
      <c r="H653" s="27"/>
    </row>
    <row r="654">
      <c r="A654" s="31"/>
      <c r="B654" s="39"/>
      <c r="C654" s="37"/>
      <c r="D654" s="27"/>
      <c r="F654" s="16"/>
      <c r="G654" s="27"/>
      <c r="H654" s="27"/>
    </row>
    <row r="655">
      <c r="A655" s="31"/>
      <c r="B655" s="39"/>
      <c r="C655" s="37"/>
      <c r="D655" s="27"/>
      <c r="F655" s="16"/>
      <c r="G655" s="27"/>
      <c r="H655" s="27"/>
    </row>
    <row r="656">
      <c r="A656" s="31"/>
      <c r="B656" s="39"/>
      <c r="C656" s="37"/>
      <c r="D656" s="27"/>
      <c r="F656" s="16"/>
      <c r="G656" s="27"/>
      <c r="H656" s="27"/>
    </row>
    <row r="657">
      <c r="A657" s="31"/>
      <c r="B657" s="39"/>
      <c r="C657" s="37"/>
      <c r="D657" s="27"/>
      <c r="F657" s="16"/>
      <c r="G657" s="27"/>
      <c r="H657" s="27"/>
    </row>
    <row r="658">
      <c r="A658" s="31"/>
      <c r="B658" s="39"/>
      <c r="C658" s="37"/>
      <c r="D658" s="27"/>
      <c r="F658" s="16"/>
      <c r="G658" s="27"/>
      <c r="H658" s="27"/>
    </row>
    <row r="659">
      <c r="A659" s="31"/>
      <c r="B659" s="39"/>
      <c r="C659" s="37"/>
      <c r="D659" s="27"/>
      <c r="F659" s="16"/>
      <c r="G659" s="27"/>
      <c r="H659" s="27"/>
    </row>
    <row r="660">
      <c r="A660" s="31"/>
      <c r="B660" s="39"/>
      <c r="C660" s="37"/>
      <c r="D660" s="27"/>
      <c r="F660" s="16"/>
      <c r="G660" s="27"/>
      <c r="H660" s="27"/>
    </row>
    <row r="661">
      <c r="A661" s="31"/>
      <c r="B661" s="39"/>
      <c r="C661" s="37"/>
      <c r="D661" s="27"/>
      <c r="F661" s="16"/>
      <c r="G661" s="27"/>
      <c r="H661" s="27"/>
    </row>
    <row r="662">
      <c r="A662" s="31"/>
      <c r="B662" s="39"/>
      <c r="C662" s="37"/>
      <c r="D662" s="27"/>
      <c r="F662" s="16"/>
      <c r="G662" s="27"/>
      <c r="H662" s="27"/>
    </row>
    <row r="663">
      <c r="A663" s="31"/>
      <c r="B663" s="39"/>
      <c r="C663" s="37"/>
      <c r="D663" s="27"/>
      <c r="F663" s="16"/>
      <c r="G663" s="27"/>
      <c r="H663" s="27"/>
    </row>
    <row r="664">
      <c r="A664" s="31"/>
      <c r="B664" s="39"/>
      <c r="C664" s="37"/>
      <c r="D664" s="27"/>
      <c r="F664" s="16"/>
      <c r="G664" s="27"/>
      <c r="H664" s="27"/>
    </row>
    <row r="665">
      <c r="A665" s="31"/>
      <c r="B665" s="39"/>
      <c r="C665" s="37"/>
      <c r="D665" s="27"/>
      <c r="F665" s="16"/>
      <c r="G665" s="27"/>
      <c r="H665" s="27"/>
    </row>
    <row r="666">
      <c r="A666" s="31"/>
      <c r="B666" s="39"/>
      <c r="C666" s="37"/>
      <c r="D666" s="27"/>
      <c r="F666" s="16"/>
      <c r="G666" s="27"/>
      <c r="H666" s="27"/>
    </row>
    <row r="667">
      <c r="A667" s="31"/>
      <c r="B667" s="39"/>
      <c r="C667" s="37"/>
      <c r="D667" s="27"/>
      <c r="F667" s="16"/>
      <c r="G667" s="27"/>
      <c r="H667" s="27"/>
    </row>
    <row r="668">
      <c r="A668" s="31"/>
      <c r="B668" s="39"/>
      <c r="C668" s="37"/>
      <c r="D668" s="27"/>
      <c r="F668" s="16"/>
      <c r="G668" s="27"/>
      <c r="H668" s="27"/>
    </row>
    <row r="669">
      <c r="A669" s="31"/>
      <c r="B669" s="39"/>
      <c r="C669" s="37"/>
      <c r="D669" s="27"/>
      <c r="F669" s="16"/>
      <c r="G669" s="27"/>
      <c r="H669" s="27"/>
    </row>
    <row r="670">
      <c r="A670" s="31"/>
      <c r="B670" s="39"/>
      <c r="C670" s="37"/>
      <c r="D670" s="27"/>
      <c r="F670" s="16"/>
      <c r="G670" s="27"/>
      <c r="H670" s="27"/>
    </row>
    <row r="671">
      <c r="A671" s="31"/>
      <c r="B671" s="39"/>
      <c r="C671" s="37"/>
      <c r="D671" s="27"/>
      <c r="F671" s="16"/>
      <c r="G671" s="27"/>
      <c r="H671" s="27"/>
    </row>
    <row r="672">
      <c r="A672" s="31"/>
      <c r="B672" s="39"/>
      <c r="C672" s="37"/>
      <c r="D672" s="27"/>
      <c r="F672" s="16"/>
      <c r="G672" s="27"/>
      <c r="H672" s="27"/>
    </row>
    <row r="673">
      <c r="A673" s="31"/>
      <c r="B673" s="39"/>
      <c r="C673" s="37"/>
      <c r="D673" s="27"/>
      <c r="F673" s="16"/>
      <c r="G673" s="27"/>
      <c r="H673" s="27"/>
    </row>
    <row r="674">
      <c r="A674" s="31"/>
      <c r="B674" s="39"/>
      <c r="C674" s="37"/>
      <c r="D674" s="27"/>
      <c r="F674" s="16"/>
      <c r="G674" s="27"/>
      <c r="H674" s="27"/>
    </row>
    <row r="675">
      <c r="A675" s="31"/>
      <c r="B675" s="39"/>
      <c r="C675" s="37"/>
      <c r="D675" s="27"/>
      <c r="F675" s="16"/>
      <c r="G675" s="27"/>
      <c r="H675" s="27"/>
    </row>
    <row r="676">
      <c r="A676" s="31"/>
      <c r="B676" s="39"/>
      <c r="C676" s="37"/>
      <c r="D676" s="27"/>
      <c r="F676" s="16"/>
      <c r="G676" s="27"/>
      <c r="H676" s="27"/>
    </row>
    <row r="677">
      <c r="A677" s="31"/>
      <c r="B677" s="39"/>
      <c r="C677" s="37"/>
      <c r="D677" s="27"/>
      <c r="F677" s="16"/>
      <c r="G677" s="27"/>
      <c r="H677" s="27"/>
    </row>
    <row r="678">
      <c r="A678" s="31"/>
      <c r="B678" s="39"/>
      <c r="C678" s="37"/>
      <c r="D678" s="27"/>
      <c r="F678" s="16"/>
      <c r="G678" s="27"/>
      <c r="H678" s="27"/>
    </row>
    <row r="679">
      <c r="A679" s="31"/>
      <c r="B679" s="39"/>
      <c r="C679" s="37"/>
      <c r="D679" s="27"/>
      <c r="F679" s="16"/>
      <c r="G679" s="27"/>
      <c r="H679" s="27"/>
    </row>
    <row r="680">
      <c r="A680" s="31"/>
      <c r="B680" s="39"/>
      <c r="C680" s="37"/>
      <c r="D680" s="27"/>
      <c r="F680" s="16"/>
      <c r="G680" s="27"/>
      <c r="H680" s="27"/>
    </row>
    <row r="681">
      <c r="A681" s="31"/>
      <c r="B681" s="39"/>
      <c r="C681" s="37"/>
      <c r="D681" s="27"/>
      <c r="F681" s="16"/>
      <c r="G681" s="27"/>
      <c r="H681" s="27"/>
    </row>
    <row r="682">
      <c r="A682" s="31"/>
      <c r="B682" s="39"/>
      <c r="C682" s="37"/>
      <c r="D682" s="27"/>
      <c r="F682" s="16"/>
      <c r="G682" s="27"/>
      <c r="H682" s="27"/>
    </row>
    <row r="683">
      <c r="A683" s="31"/>
      <c r="B683" s="39"/>
      <c r="C683" s="37"/>
      <c r="D683" s="27"/>
      <c r="F683" s="16"/>
      <c r="G683" s="27"/>
      <c r="H683" s="27"/>
    </row>
    <row r="684">
      <c r="A684" s="31"/>
      <c r="B684" s="39"/>
      <c r="C684" s="37"/>
      <c r="D684" s="27"/>
      <c r="F684" s="16"/>
      <c r="G684" s="27"/>
      <c r="H684" s="27"/>
    </row>
    <row r="685">
      <c r="A685" s="31"/>
      <c r="B685" s="39"/>
      <c r="C685" s="37"/>
      <c r="D685" s="27"/>
      <c r="F685" s="16"/>
      <c r="G685" s="27"/>
      <c r="H685" s="27"/>
    </row>
    <row r="686">
      <c r="A686" s="31"/>
      <c r="B686" s="39"/>
      <c r="C686" s="37"/>
      <c r="D686" s="27"/>
      <c r="F686" s="16"/>
      <c r="G686" s="27"/>
      <c r="H686" s="27"/>
    </row>
    <row r="687">
      <c r="A687" s="31"/>
      <c r="B687" s="39"/>
      <c r="C687" s="37"/>
      <c r="D687" s="27"/>
      <c r="F687" s="16"/>
      <c r="G687" s="27"/>
      <c r="H687" s="27"/>
    </row>
    <row r="688">
      <c r="A688" s="31"/>
      <c r="B688" s="39"/>
      <c r="C688" s="37"/>
      <c r="D688" s="27"/>
      <c r="F688" s="16"/>
      <c r="G688" s="27"/>
      <c r="H688" s="27"/>
    </row>
    <row r="689">
      <c r="A689" s="31"/>
      <c r="B689" s="39"/>
      <c r="C689" s="37"/>
      <c r="D689" s="27"/>
      <c r="F689" s="16"/>
      <c r="G689" s="27"/>
      <c r="H689" s="27"/>
    </row>
    <row r="690">
      <c r="A690" s="31"/>
      <c r="B690" s="39"/>
      <c r="C690" s="37"/>
      <c r="D690" s="27"/>
      <c r="F690" s="16"/>
      <c r="G690" s="27"/>
      <c r="H690" s="27"/>
    </row>
    <row r="691">
      <c r="A691" s="31"/>
      <c r="B691" s="39"/>
      <c r="C691" s="37"/>
      <c r="D691" s="27"/>
      <c r="F691" s="16"/>
      <c r="G691" s="27"/>
      <c r="H691" s="27"/>
    </row>
    <row r="692">
      <c r="A692" s="31"/>
      <c r="B692" s="39"/>
      <c r="C692" s="37"/>
      <c r="D692" s="27"/>
      <c r="F692" s="16"/>
      <c r="G692" s="27"/>
      <c r="H692" s="27"/>
    </row>
    <row r="693">
      <c r="A693" s="31"/>
      <c r="B693" s="39"/>
      <c r="C693" s="37"/>
      <c r="D693" s="27"/>
      <c r="F693" s="16"/>
      <c r="G693" s="27"/>
      <c r="H693" s="27"/>
    </row>
    <row r="694">
      <c r="A694" s="31"/>
      <c r="B694" s="39"/>
      <c r="C694" s="37"/>
      <c r="D694" s="27"/>
      <c r="F694" s="16"/>
      <c r="G694" s="27"/>
      <c r="H694" s="27"/>
    </row>
    <row r="695">
      <c r="A695" s="31"/>
      <c r="B695" s="39"/>
      <c r="C695" s="37"/>
      <c r="D695" s="27"/>
      <c r="F695" s="16"/>
      <c r="G695" s="27"/>
      <c r="H695" s="27"/>
    </row>
    <row r="696">
      <c r="A696" s="31"/>
      <c r="B696" s="39"/>
      <c r="C696" s="37"/>
      <c r="D696" s="27"/>
      <c r="F696" s="16"/>
      <c r="G696" s="27"/>
      <c r="H696" s="27"/>
    </row>
    <row r="697">
      <c r="A697" s="31"/>
      <c r="B697" s="39"/>
      <c r="C697" s="37"/>
      <c r="D697" s="27"/>
      <c r="F697" s="16"/>
      <c r="G697" s="27"/>
      <c r="H697" s="27"/>
    </row>
    <row r="698">
      <c r="A698" s="31"/>
      <c r="B698" s="39"/>
      <c r="C698" s="37"/>
      <c r="D698" s="27"/>
      <c r="F698" s="16"/>
      <c r="G698" s="27"/>
      <c r="H698" s="27"/>
    </row>
    <row r="699">
      <c r="A699" s="31"/>
      <c r="B699" s="39"/>
      <c r="C699" s="37"/>
      <c r="D699" s="27"/>
      <c r="F699" s="16"/>
      <c r="G699" s="27"/>
      <c r="H699" s="27"/>
    </row>
    <row r="700">
      <c r="A700" s="31"/>
      <c r="B700" s="39"/>
      <c r="C700" s="37"/>
      <c r="D700" s="27"/>
      <c r="F700" s="16"/>
      <c r="G700" s="27"/>
      <c r="H700" s="27"/>
    </row>
    <row r="701">
      <c r="A701" s="31"/>
      <c r="B701" s="39"/>
      <c r="C701" s="37"/>
      <c r="D701" s="27"/>
      <c r="F701" s="16"/>
      <c r="G701" s="27"/>
      <c r="H701" s="27"/>
    </row>
    <row r="702">
      <c r="A702" s="31"/>
      <c r="B702" s="39"/>
      <c r="C702" s="37"/>
      <c r="D702" s="27"/>
      <c r="F702" s="16"/>
      <c r="G702" s="27"/>
      <c r="H702" s="27"/>
    </row>
    <row r="703">
      <c r="A703" s="31"/>
      <c r="B703" s="39"/>
      <c r="C703" s="37"/>
      <c r="D703" s="27"/>
      <c r="F703" s="16"/>
      <c r="G703" s="27"/>
      <c r="H703" s="27"/>
    </row>
    <row r="704">
      <c r="A704" s="31"/>
      <c r="B704" s="39"/>
      <c r="C704" s="37"/>
      <c r="D704" s="27"/>
      <c r="F704" s="16"/>
      <c r="G704" s="27"/>
      <c r="H704" s="27"/>
    </row>
    <row r="705">
      <c r="A705" s="31"/>
      <c r="B705" s="39"/>
      <c r="C705" s="37"/>
      <c r="D705" s="27"/>
      <c r="F705" s="16"/>
      <c r="G705" s="27"/>
      <c r="H705" s="27"/>
    </row>
    <row r="706">
      <c r="A706" s="31"/>
      <c r="B706" s="39"/>
      <c r="C706" s="37"/>
      <c r="D706" s="27"/>
      <c r="F706" s="16"/>
      <c r="G706" s="27"/>
      <c r="H706" s="27"/>
    </row>
    <row r="707">
      <c r="A707" s="31"/>
      <c r="B707" s="39"/>
      <c r="C707" s="37"/>
      <c r="D707" s="27"/>
      <c r="F707" s="16"/>
      <c r="G707" s="27"/>
      <c r="H707" s="27"/>
    </row>
    <row r="708">
      <c r="A708" s="31"/>
      <c r="B708" s="39"/>
      <c r="C708" s="37"/>
      <c r="D708" s="27"/>
      <c r="F708" s="16"/>
      <c r="G708" s="27"/>
      <c r="H708" s="27"/>
    </row>
    <row r="709">
      <c r="A709" s="31"/>
      <c r="B709" s="39"/>
      <c r="C709" s="37"/>
      <c r="D709" s="27"/>
      <c r="F709" s="16"/>
      <c r="G709" s="27"/>
      <c r="H709" s="27"/>
    </row>
    <row r="710">
      <c r="A710" s="31"/>
      <c r="B710" s="39"/>
      <c r="C710" s="37"/>
      <c r="D710" s="27"/>
      <c r="F710" s="16"/>
      <c r="G710" s="27"/>
      <c r="H710" s="27"/>
    </row>
    <row r="711">
      <c r="A711" s="31"/>
      <c r="B711" s="39"/>
      <c r="C711" s="37"/>
      <c r="D711" s="27"/>
      <c r="F711" s="16"/>
      <c r="G711" s="27"/>
      <c r="H711" s="27"/>
    </row>
    <row r="712">
      <c r="A712" s="31"/>
      <c r="B712" s="39"/>
      <c r="C712" s="37"/>
      <c r="D712" s="27"/>
      <c r="F712" s="16"/>
      <c r="G712" s="27"/>
      <c r="H712" s="27"/>
    </row>
    <row r="713">
      <c r="A713" s="31"/>
      <c r="B713" s="39"/>
      <c r="C713" s="37"/>
      <c r="D713" s="27"/>
      <c r="F713" s="16"/>
      <c r="G713" s="27"/>
      <c r="H713" s="27"/>
    </row>
    <row r="714">
      <c r="A714" s="31"/>
      <c r="B714" s="39"/>
      <c r="C714" s="37"/>
      <c r="D714" s="27"/>
      <c r="F714" s="16"/>
      <c r="G714" s="27"/>
      <c r="H714" s="27"/>
    </row>
    <row r="715">
      <c r="A715" s="31"/>
      <c r="B715" s="39"/>
      <c r="C715" s="37"/>
      <c r="D715" s="27"/>
      <c r="F715" s="16"/>
      <c r="G715" s="27"/>
      <c r="H715" s="27"/>
    </row>
    <row r="716">
      <c r="A716" s="31"/>
      <c r="B716" s="39"/>
      <c r="C716" s="37"/>
      <c r="D716" s="27"/>
      <c r="F716" s="16"/>
      <c r="G716" s="27"/>
      <c r="H716" s="27"/>
    </row>
    <row r="717">
      <c r="A717" s="31"/>
      <c r="B717" s="39"/>
      <c r="C717" s="37"/>
      <c r="D717" s="27"/>
      <c r="F717" s="16"/>
      <c r="G717" s="27"/>
      <c r="H717" s="27"/>
    </row>
    <row r="718">
      <c r="A718" s="31"/>
      <c r="B718" s="39"/>
      <c r="C718" s="37"/>
      <c r="D718" s="27"/>
      <c r="F718" s="16"/>
      <c r="G718" s="27"/>
      <c r="H718" s="27"/>
    </row>
    <row r="719">
      <c r="A719" s="31"/>
      <c r="B719" s="39"/>
      <c r="C719" s="37"/>
      <c r="D719" s="27"/>
      <c r="F719" s="16"/>
      <c r="G719" s="27"/>
      <c r="H719" s="27"/>
    </row>
    <row r="720">
      <c r="A720" s="31"/>
      <c r="B720" s="39"/>
      <c r="C720" s="37"/>
      <c r="D720" s="27"/>
      <c r="F720" s="16"/>
      <c r="G720" s="27"/>
      <c r="H720" s="27"/>
    </row>
    <row r="721">
      <c r="A721" s="31"/>
      <c r="B721" s="39"/>
      <c r="C721" s="37"/>
      <c r="D721" s="27"/>
      <c r="F721" s="16"/>
      <c r="G721" s="27"/>
      <c r="H721" s="27"/>
    </row>
    <row r="722">
      <c r="A722" s="31"/>
      <c r="B722" s="39"/>
      <c r="C722" s="37"/>
      <c r="D722" s="27"/>
      <c r="F722" s="16"/>
      <c r="G722" s="27"/>
      <c r="H722" s="27"/>
    </row>
    <row r="723">
      <c r="A723" s="31"/>
      <c r="B723" s="39"/>
      <c r="C723" s="37"/>
      <c r="D723" s="27"/>
      <c r="F723" s="16"/>
      <c r="G723" s="27"/>
      <c r="H723" s="27"/>
    </row>
    <row r="724">
      <c r="A724" s="31"/>
      <c r="B724" s="39"/>
      <c r="C724" s="37"/>
      <c r="D724" s="27"/>
      <c r="F724" s="16"/>
      <c r="G724" s="27"/>
      <c r="H724" s="27"/>
    </row>
    <row r="725">
      <c r="A725" s="31"/>
      <c r="B725" s="39"/>
      <c r="C725" s="37"/>
      <c r="D725" s="27"/>
      <c r="F725" s="16"/>
      <c r="G725" s="27"/>
      <c r="H725" s="27"/>
    </row>
    <row r="726">
      <c r="A726" s="31"/>
      <c r="B726" s="39"/>
      <c r="C726" s="37"/>
      <c r="D726" s="27"/>
      <c r="F726" s="16"/>
      <c r="G726" s="27"/>
      <c r="H726" s="27"/>
    </row>
    <row r="727">
      <c r="A727" s="31"/>
      <c r="B727" s="39"/>
      <c r="C727" s="37"/>
      <c r="D727" s="27"/>
      <c r="F727" s="16"/>
      <c r="G727" s="27"/>
      <c r="H727" s="27"/>
    </row>
    <row r="728">
      <c r="A728" s="31"/>
      <c r="B728" s="39"/>
      <c r="C728" s="37"/>
      <c r="D728" s="27"/>
      <c r="F728" s="16"/>
      <c r="G728" s="27"/>
      <c r="H728" s="27"/>
    </row>
    <row r="729">
      <c r="A729" s="31"/>
      <c r="B729" s="39"/>
      <c r="C729" s="37"/>
      <c r="D729" s="27"/>
      <c r="F729" s="16"/>
      <c r="G729" s="27"/>
      <c r="H729" s="27"/>
    </row>
    <row r="730">
      <c r="A730" s="31"/>
      <c r="B730" s="39"/>
      <c r="C730" s="37"/>
      <c r="D730" s="27"/>
      <c r="F730" s="16"/>
      <c r="G730" s="27"/>
      <c r="H730" s="27"/>
    </row>
    <row r="731">
      <c r="A731" s="31"/>
      <c r="B731" s="39"/>
      <c r="C731" s="37"/>
      <c r="D731" s="27"/>
      <c r="F731" s="16"/>
      <c r="G731" s="27"/>
      <c r="H731" s="27"/>
    </row>
    <row r="732">
      <c r="A732" s="31"/>
      <c r="B732" s="39"/>
      <c r="C732" s="37"/>
      <c r="D732" s="27"/>
      <c r="F732" s="16"/>
      <c r="G732" s="27"/>
      <c r="H732" s="27"/>
    </row>
    <row r="733">
      <c r="A733" s="31"/>
      <c r="B733" s="39"/>
      <c r="C733" s="37"/>
      <c r="D733" s="27"/>
      <c r="F733" s="16"/>
      <c r="G733" s="27"/>
      <c r="H733" s="27"/>
    </row>
    <row r="734">
      <c r="A734" s="31"/>
      <c r="B734" s="39"/>
      <c r="C734" s="37"/>
      <c r="D734" s="27"/>
      <c r="F734" s="16"/>
      <c r="G734" s="27"/>
      <c r="H734" s="27"/>
    </row>
    <row r="735">
      <c r="A735" s="31"/>
      <c r="B735" s="39"/>
      <c r="C735" s="37"/>
      <c r="D735" s="27"/>
      <c r="F735" s="16"/>
      <c r="G735" s="27"/>
      <c r="H735" s="27"/>
    </row>
    <row r="736">
      <c r="A736" s="31"/>
      <c r="B736" s="39"/>
      <c r="C736" s="37"/>
      <c r="D736" s="27"/>
      <c r="F736" s="16"/>
      <c r="G736" s="27"/>
      <c r="H736" s="27"/>
    </row>
    <row r="737">
      <c r="A737" s="31"/>
      <c r="B737" s="39"/>
      <c r="C737" s="37"/>
      <c r="D737" s="27"/>
      <c r="F737" s="16"/>
      <c r="G737" s="27"/>
      <c r="H737" s="27"/>
    </row>
    <row r="738">
      <c r="A738" s="31"/>
      <c r="B738" s="39"/>
      <c r="C738" s="37"/>
      <c r="D738" s="27"/>
      <c r="F738" s="16"/>
      <c r="G738" s="27"/>
      <c r="H738" s="27"/>
    </row>
    <row r="739">
      <c r="A739" s="31"/>
      <c r="B739" s="39"/>
      <c r="C739" s="37"/>
      <c r="D739" s="27"/>
      <c r="F739" s="16"/>
      <c r="G739" s="27"/>
      <c r="H739" s="27"/>
    </row>
    <row r="740">
      <c r="A740" s="31"/>
      <c r="B740" s="39"/>
      <c r="C740" s="37"/>
      <c r="D740" s="27"/>
      <c r="F740" s="16"/>
      <c r="G740" s="27"/>
      <c r="H740" s="27"/>
    </row>
    <row r="741">
      <c r="A741" s="31"/>
      <c r="B741" s="39"/>
      <c r="C741" s="37"/>
      <c r="D741" s="27"/>
      <c r="F741" s="16"/>
      <c r="G741" s="27"/>
      <c r="H741" s="27"/>
    </row>
    <row r="742">
      <c r="A742" s="31"/>
      <c r="B742" s="39"/>
      <c r="C742" s="37"/>
      <c r="D742" s="27"/>
      <c r="F742" s="16"/>
      <c r="G742" s="27"/>
      <c r="H742" s="27"/>
    </row>
    <row r="743">
      <c r="A743" s="31"/>
      <c r="B743" s="39"/>
      <c r="C743" s="37"/>
      <c r="D743" s="27"/>
      <c r="F743" s="16"/>
      <c r="G743" s="27"/>
      <c r="H743" s="27"/>
    </row>
    <row r="744">
      <c r="A744" s="31"/>
      <c r="B744" s="39"/>
      <c r="C744" s="37"/>
      <c r="D744" s="27"/>
      <c r="F744" s="16"/>
      <c r="G744" s="27"/>
      <c r="H744" s="27"/>
    </row>
    <row r="745">
      <c r="A745" s="31"/>
      <c r="B745" s="39"/>
      <c r="C745" s="37"/>
      <c r="D745" s="27"/>
      <c r="F745" s="16"/>
      <c r="G745" s="27"/>
      <c r="H745" s="27"/>
    </row>
    <row r="746">
      <c r="A746" s="31"/>
      <c r="B746" s="39"/>
      <c r="C746" s="37"/>
      <c r="D746" s="27"/>
      <c r="F746" s="16"/>
      <c r="G746" s="27"/>
      <c r="H746" s="27"/>
    </row>
    <row r="747">
      <c r="A747" s="31"/>
      <c r="B747" s="39"/>
      <c r="C747" s="37"/>
      <c r="D747" s="27"/>
      <c r="F747" s="16"/>
      <c r="G747" s="27"/>
      <c r="H747" s="27"/>
    </row>
    <row r="748">
      <c r="A748" s="31"/>
      <c r="B748" s="39"/>
      <c r="C748" s="37"/>
      <c r="D748" s="27"/>
      <c r="F748" s="16"/>
      <c r="G748" s="27"/>
      <c r="H748" s="27"/>
    </row>
    <row r="749">
      <c r="A749" s="31"/>
      <c r="B749" s="39"/>
      <c r="C749" s="37"/>
      <c r="D749" s="27"/>
      <c r="F749" s="16"/>
      <c r="G749" s="27"/>
      <c r="H749" s="27"/>
    </row>
    <row r="750">
      <c r="A750" s="31"/>
      <c r="B750" s="39"/>
      <c r="C750" s="37"/>
      <c r="D750" s="27"/>
      <c r="F750" s="16"/>
      <c r="G750" s="27"/>
      <c r="H750" s="27"/>
    </row>
    <row r="751">
      <c r="A751" s="31"/>
      <c r="B751" s="39"/>
      <c r="C751" s="37"/>
      <c r="D751" s="27"/>
      <c r="F751" s="16"/>
      <c r="G751" s="27"/>
      <c r="H751" s="27"/>
    </row>
    <row r="752">
      <c r="A752" s="31"/>
      <c r="B752" s="39"/>
      <c r="C752" s="37"/>
      <c r="D752" s="27"/>
      <c r="F752" s="16"/>
      <c r="G752" s="27"/>
      <c r="H752" s="27"/>
    </row>
    <row r="753">
      <c r="A753" s="31"/>
      <c r="B753" s="39"/>
      <c r="C753" s="37"/>
      <c r="D753" s="27"/>
      <c r="F753" s="16"/>
      <c r="G753" s="27"/>
      <c r="H753" s="27"/>
    </row>
    <row r="754">
      <c r="A754" s="31"/>
      <c r="B754" s="39"/>
      <c r="C754" s="37"/>
      <c r="D754" s="27"/>
      <c r="F754" s="16"/>
      <c r="G754" s="27"/>
      <c r="H754" s="27"/>
    </row>
    <row r="755">
      <c r="A755" s="31"/>
      <c r="B755" s="39"/>
      <c r="C755" s="37"/>
      <c r="D755" s="27"/>
      <c r="F755" s="16"/>
      <c r="G755" s="27"/>
      <c r="H755" s="27"/>
    </row>
    <row r="756">
      <c r="A756" s="31"/>
      <c r="B756" s="39"/>
      <c r="C756" s="37"/>
      <c r="D756" s="27"/>
      <c r="F756" s="16"/>
      <c r="G756" s="27"/>
      <c r="H756" s="27"/>
    </row>
    <row r="757">
      <c r="A757" s="31"/>
      <c r="B757" s="39"/>
      <c r="C757" s="37"/>
      <c r="D757" s="27"/>
      <c r="F757" s="16"/>
      <c r="G757" s="27"/>
      <c r="H757" s="27"/>
    </row>
    <row r="758">
      <c r="A758" s="31"/>
      <c r="B758" s="39"/>
      <c r="C758" s="37"/>
      <c r="D758" s="27"/>
      <c r="F758" s="16"/>
      <c r="G758" s="27"/>
      <c r="H758" s="27"/>
    </row>
    <row r="759">
      <c r="A759" s="31"/>
      <c r="B759" s="39"/>
      <c r="C759" s="37"/>
      <c r="D759" s="27"/>
      <c r="F759" s="16"/>
      <c r="G759" s="27"/>
      <c r="H759" s="27"/>
    </row>
    <row r="760">
      <c r="A760" s="31"/>
      <c r="B760" s="39"/>
      <c r="C760" s="37"/>
      <c r="D760" s="27"/>
      <c r="F760" s="16"/>
      <c r="G760" s="27"/>
      <c r="H760" s="27"/>
    </row>
    <row r="761">
      <c r="A761" s="31"/>
      <c r="B761" s="39"/>
      <c r="C761" s="37"/>
      <c r="D761" s="27"/>
      <c r="F761" s="16"/>
      <c r="G761" s="27"/>
      <c r="H761" s="27"/>
    </row>
    <row r="762">
      <c r="A762" s="31"/>
      <c r="B762" s="39"/>
      <c r="C762" s="37"/>
      <c r="D762" s="27"/>
      <c r="F762" s="16"/>
      <c r="G762" s="27"/>
      <c r="H762" s="27"/>
    </row>
    <row r="763">
      <c r="A763" s="31"/>
      <c r="B763" s="39"/>
      <c r="C763" s="37"/>
      <c r="D763" s="27"/>
      <c r="F763" s="16"/>
      <c r="G763" s="27"/>
      <c r="H763" s="27"/>
    </row>
    <row r="764">
      <c r="A764" s="31"/>
      <c r="B764" s="39"/>
      <c r="C764" s="37"/>
      <c r="D764" s="27"/>
      <c r="F764" s="16"/>
      <c r="G764" s="27"/>
      <c r="H764" s="27"/>
    </row>
    <row r="765">
      <c r="A765" s="31"/>
      <c r="B765" s="39"/>
      <c r="C765" s="37"/>
      <c r="D765" s="27"/>
      <c r="F765" s="16"/>
      <c r="G765" s="27"/>
      <c r="H765" s="27"/>
    </row>
    <row r="766">
      <c r="A766" s="31"/>
      <c r="B766" s="39"/>
      <c r="C766" s="37"/>
      <c r="D766" s="27"/>
      <c r="F766" s="16"/>
      <c r="G766" s="27"/>
      <c r="H766" s="27"/>
    </row>
    <row r="767">
      <c r="A767" s="31"/>
      <c r="B767" s="39"/>
      <c r="C767" s="37"/>
      <c r="D767" s="27"/>
      <c r="F767" s="16"/>
      <c r="G767" s="27"/>
      <c r="H767" s="27"/>
    </row>
    <row r="768">
      <c r="A768" s="31"/>
      <c r="B768" s="39"/>
      <c r="C768" s="37"/>
      <c r="D768" s="27"/>
      <c r="F768" s="16"/>
      <c r="G768" s="27"/>
      <c r="H768" s="27"/>
    </row>
    <row r="769">
      <c r="A769" s="31"/>
      <c r="B769" s="39"/>
      <c r="C769" s="37"/>
      <c r="D769" s="27"/>
      <c r="F769" s="16"/>
      <c r="G769" s="27"/>
      <c r="H769" s="27"/>
    </row>
    <row r="770">
      <c r="A770" s="31"/>
      <c r="B770" s="39"/>
      <c r="C770" s="37"/>
      <c r="D770" s="27"/>
      <c r="F770" s="16"/>
      <c r="G770" s="27"/>
      <c r="H770" s="27"/>
    </row>
    <row r="771">
      <c r="A771" s="31"/>
      <c r="B771" s="39"/>
      <c r="C771" s="37"/>
      <c r="D771" s="27"/>
      <c r="F771" s="16"/>
      <c r="G771" s="27"/>
      <c r="H771" s="27"/>
    </row>
    <row r="772">
      <c r="A772" s="31"/>
      <c r="B772" s="39"/>
      <c r="C772" s="37"/>
      <c r="D772" s="27"/>
      <c r="F772" s="16"/>
      <c r="G772" s="27"/>
      <c r="H772" s="27"/>
    </row>
    <row r="773">
      <c r="A773" s="31"/>
      <c r="B773" s="39"/>
      <c r="C773" s="37"/>
      <c r="D773" s="27"/>
      <c r="F773" s="16"/>
      <c r="G773" s="27"/>
      <c r="H773" s="27"/>
    </row>
    <row r="774">
      <c r="A774" s="31"/>
      <c r="B774" s="39"/>
      <c r="C774" s="37"/>
      <c r="D774" s="27"/>
      <c r="F774" s="16"/>
      <c r="G774" s="27"/>
      <c r="H774" s="27"/>
    </row>
    <row r="775">
      <c r="A775" s="31"/>
      <c r="B775" s="39"/>
      <c r="C775" s="37"/>
      <c r="D775" s="27"/>
      <c r="F775" s="16"/>
      <c r="G775" s="27"/>
      <c r="H775" s="27"/>
    </row>
    <row r="776">
      <c r="A776" s="31"/>
      <c r="B776" s="39"/>
      <c r="C776" s="37"/>
      <c r="D776" s="27"/>
      <c r="F776" s="16"/>
      <c r="G776" s="27"/>
      <c r="H776" s="27"/>
    </row>
    <row r="777">
      <c r="A777" s="31"/>
      <c r="B777" s="39"/>
      <c r="C777" s="37"/>
      <c r="D777" s="27"/>
      <c r="F777" s="16"/>
      <c r="G777" s="27"/>
      <c r="H777" s="27"/>
    </row>
    <row r="778">
      <c r="A778" s="31"/>
      <c r="B778" s="39"/>
      <c r="C778" s="37"/>
      <c r="D778" s="27"/>
      <c r="F778" s="16"/>
      <c r="G778" s="27"/>
      <c r="H778" s="27"/>
    </row>
    <row r="779">
      <c r="A779" s="31"/>
      <c r="B779" s="39"/>
      <c r="C779" s="37"/>
      <c r="D779" s="27"/>
      <c r="F779" s="16"/>
      <c r="G779" s="27"/>
      <c r="H779" s="27"/>
    </row>
    <row r="780">
      <c r="A780" s="31"/>
      <c r="B780" s="39"/>
      <c r="C780" s="37"/>
      <c r="D780" s="27"/>
      <c r="F780" s="16"/>
      <c r="G780" s="27"/>
      <c r="H780" s="27"/>
    </row>
    <row r="781">
      <c r="A781" s="31"/>
      <c r="B781" s="39"/>
      <c r="C781" s="37"/>
      <c r="D781" s="27"/>
      <c r="F781" s="16"/>
      <c r="G781" s="27"/>
      <c r="H781" s="27"/>
    </row>
    <row r="782">
      <c r="A782" s="31"/>
      <c r="B782" s="39"/>
      <c r="C782" s="37"/>
      <c r="D782" s="27"/>
      <c r="F782" s="16"/>
      <c r="G782" s="27"/>
      <c r="H782" s="27"/>
    </row>
    <row r="783">
      <c r="A783" s="31"/>
      <c r="B783" s="39"/>
      <c r="C783" s="37"/>
      <c r="D783" s="27"/>
      <c r="F783" s="16"/>
      <c r="G783" s="27"/>
      <c r="H783" s="27"/>
    </row>
    <row r="784">
      <c r="A784" s="31"/>
      <c r="B784" s="39"/>
      <c r="C784" s="37"/>
      <c r="D784" s="27"/>
      <c r="F784" s="16"/>
      <c r="G784" s="27"/>
      <c r="H784" s="27"/>
    </row>
    <row r="785">
      <c r="A785" s="31"/>
      <c r="B785" s="39"/>
      <c r="C785" s="37"/>
      <c r="D785" s="27"/>
      <c r="F785" s="16"/>
      <c r="G785" s="27"/>
      <c r="H785" s="27"/>
    </row>
    <row r="786">
      <c r="A786" s="31"/>
      <c r="B786" s="39"/>
      <c r="C786" s="37"/>
      <c r="D786" s="27"/>
      <c r="F786" s="16"/>
      <c r="G786" s="27"/>
      <c r="H786" s="27"/>
    </row>
    <row r="787">
      <c r="A787" s="31"/>
      <c r="B787" s="39"/>
      <c r="C787" s="37"/>
      <c r="D787" s="27"/>
      <c r="F787" s="16"/>
      <c r="G787" s="27"/>
      <c r="H787" s="27"/>
    </row>
    <row r="788">
      <c r="A788" s="31"/>
      <c r="B788" s="39"/>
      <c r="C788" s="37"/>
      <c r="D788" s="27"/>
      <c r="F788" s="16"/>
      <c r="G788" s="27"/>
      <c r="H788" s="27"/>
    </row>
    <row r="789">
      <c r="A789" s="31"/>
      <c r="B789" s="39"/>
      <c r="C789" s="37"/>
      <c r="D789" s="27"/>
      <c r="F789" s="16"/>
      <c r="G789" s="27"/>
      <c r="H789" s="27"/>
    </row>
    <row r="790">
      <c r="A790" s="31"/>
      <c r="B790" s="39"/>
      <c r="C790" s="37"/>
      <c r="D790" s="27"/>
      <c r="F790" s="16"/>
      <c r="G790" s="27"/>
      <c r="H790" s="27"/>
    </row>
    <row r="791">
      <c r="A791" s="31"/>
      <c r="B791" s="39"/>
      <c r="C791" s="37"/>
      <c r="D791" s="27"/>
      <c r="F791" s="16"/>
      <c r="G791" s="27"/>
      <c r="H791" s="27"/>
    </row>
    <row r="792">
      <c r="A792" s="31"/>
      <c r="B792" s="39"/>
      <c r="C792" s="37"/>
      <c r="D792" s="27"/>
      <c r="F792" s="16"/>
      <c r="G792" s="27"/>
      <c r="H792" s="27"/>
    </row>
    <row r="793">
      <c r="A793" s="31"/>
      <c r="B793" s="39"/>
      <c r="C793" s="37"/>
      <c r="D793" s="27"/>
      <c r="F793" s="16"/>
      <c r="G793" s="27"/>
      <c r="H793" s="27"/>
    </row>
    <row r="794">
      <c r="A794" s="31"/>
      <c r="B794" s="39"/>
      <c r="C794" s="37"/>
      <c r="D794" s="27"/>
      <c r="F794" s="16"/>
      <c r="G794" s="27"/>
      <c r="H794" s="27"/>
    </row>
    <row r="795">
      <c r="A795" s="31"/>
      <c r="B795" s="39"/>
      <c r="C795" s="37"/>
      <c r="D795" s="27"/>
      <c r="F795" s="16"/>
      <c r="G795" s="27"/>
      <c r="H795" s="27"/>
    </row>
    <row r="796">
      <c r="A796" s="31"/>
      <c r="B796" s="39"/>
      <c r="C796" s="37"/>
      <c r="D796" s="27"/>
      <c r="F796" s="16"/>
      <c r="G796" s="27"/>
      <c r="H796" s="27"/>
    </row>
    <row r="797">
      <c r="A797" s="31"/>
      <c r="B797" s="39"/>
      <c r="C797" s="37"/>
      <c r="D797" s="27"/>
      <c r="F797" s="16"/>
      <c r="G797" s="27"/>
      <c r="H797" s="27"/>
    </row>
    <row r="798">
      <c r="A798" s="31"/>
      <c r="B798" s="39"/>
      <c r="C798" s="37"/>
      <c r="D798" s="27"/>
      <c r="F798" s="16"/>
      <c r="G798" s="27"/>
      <c r="H798" s="27"/>
    </row>
    <row r="799">
      <c r="A799" s="31"/>
      <c r="B799" s="39"/>
      <c r="C799" s="37"/>
      <c r="D799" s="27"/>
      <c r="F799" s="16"/>
      <c r="G799" s="27"/>
      <c r="H799" s="27"/>
    </row>
    <row r="800">
      <c r="A800" s="31"/>
      <c r="B800" s="39"/>
      <c r="C800" s="37"/>
      <c r="D800" s="27"/>
      <c r="F800" s="16"/>
      <c r="G800" s="27"/>
      <c r="H800" s="27"/>
    </row>
    <row r="801">
      <c r="A801" s="31"/>
      <c r="B801" s="39"/>
      <c r="C801" s="37"/>
      <c r="D801" s="27"/>
      <c r="F801" s="16"/>
      <c r="G801" s="27"/>
      <c r="H801" s="27"/>
    </row>
    <row r="802">
      <c r="A802" s="31"/>
      <c r="B802" s="39"/>
      <c r="C802" s="37"/>
      <c r="D802" s="27"/>
      <c r="F802" s="16"/>
      <c r="G802" s="27"/>
      <c r="H802" s="27"/>
    </row>
    <row r="803">
      <c r="A803" s="31"/>
      <c r="B803" s="39"/>
      <c r="C803" s="37"/>
      <c r="D803" s="27"/>
      <c r="F803" s="16"/>
      <c r="G803" s="27"/>
      <c r="H803" s="27"/>
    </row>
    <row r="804">
      <c r="A804" s="31"/>
      <c r="B804" s="39"/>
      <c r="C804" s="37"/>
      <c r="D804" s="27"/>
      <c r="F804" s="16"/>
      <c r="G804" s="27"/>
      <c r="H804" s="27"/>
    </row>
    <row r="805">
      <c r="A805" s="31"/>
      <c r="B805" s="39"/>
      <c r="C805" s="37"/>
      <c r="D805" s="27"/>
      <c r="F805" s="16"/>
      <c r="G805" s="27"/>
      <c r="H805" s="27"/>
    </row>
    <row r="806">
      <c r="A806" s="31"/>
      <c r="B806" s="39"/>
      <c r="C806" s="37"/>
      <c r="D806" s="27"/>
      <c r="F806" s="16"/>
      <c r="G806" s="27"/>
      <c r="H806" s="27"/>
    </row>
    <row r="807">
      <c r="A807" s="31"/>
      <c r="B807" s="39"/>
      <c r="C807" s="37"/>
      <c r="D807" s="27"/>
      <c r="F807" s="16"/>
      <c r="G807" s="27"/>
      <c r="H807" s="27"/>
    </row>
    <row r="808">
      <c r="A808" s="31"/>
      <c r="B808" s="39"/>
      <c r="C808" s="37"/>
      <c r="D808" s="27"/>
      <c r="F808" s="16"/>
      <c r="G808" s="27"/>
      <c r="H808" s="27"/>
    </row>
    <row r="809">
      <c r="A809" s="31"/>
      <c r="B809" s="39"/>
      <c r="C809" s="37"/>
      <c r="D809" s="27"/>
      <c r="F809" s="16"/>
      <c r="G809" s="27"/>
      <c r="H809" s="27"/>
    </row>
    <row r="810">
      <c r="A810" s="31"/>
      <c r="B810" s="39"/>
      <c r="C810" s="37"/>
      <c r="D810" s="27"/>
      <c r="F810" s="16"/>
      <c r="G810" s="27"/>
      <c r="H810" s="27"/>
    </row>
    <row r="811">
      <c r="A811" s="31"/>
      <c r="B811" s="39"/>
      <c r="C811" s="37"/>
      <c r="D811" s="27"/>
      <c r="F811" s="16"/>
      <c r="G811" s="27"/>
      <c r="H811" s="27"/>
    </row>
    <row r="812">
      <c r="A812" s="31"/>
      <c r="B812" s="39"/>
      <c r="C812" s="37"/>
      <c r="D812" s="27"/>
      <c r="F812" s="16"/>
      <c r="G812" s="27"/>
      <c r="H812" s="27"/>
    </row>
    <row r="813">
      <c r="A813" s="31"/>
      <c r="B813" s="39"/>
      <c r="C813" s="37"/>
      <c r="D813" s="27"/>
      <c r="F813" s="16"/>
      <c r="G813" s="27"/>
      <c r="H813" s="27"/>
    </row>
    <row r="814">
      <c r="A814" s="31"/>
      <c r="B814" s="39"/>
      <c r="C814" s="37"/>
      <c r="D814" s="27"/>
      <c r="F814" s="16"/>
      <c r="G814" s="27"/>
      <c r="H814" s="27"/>
    </row>
    <row r="815">
      <c r="A815" s="31"/>
      <c r="B815" s="39"/>
      <c r="C815" s="37"/>
      <c r="D815" s="27"/>
      <c r="F815" s="16"/>
      <c r="G815" s="27"/>
      <c r="H815" s="27"/>
    </row>
    <row r="816">
      <c r="A816" s="31"/>
      <c r="B816" s="39"/>
      <c r="C816" s="37"/>
      <c r="D816" s="27"/>
      <c r="F816" s="16"/>
      <c r="G816" s="27"/>
      <c r="H816" s="27"/>
    </row>
    <row r="817">
      <c r="A817" s="31"/>
      <c r="B817" s="39"/>
      <c r="C817" s="37"/>
      <c r="D817" s="27"/>
      <c r="F817" s="16"/>
      <c r="G817" s="27"/>
      <c r="H817" s="27"/>
    </row>
    <row r="818">
      <c r="A818" s="31"/>
      <c r="B818" s="39"/>
      <c r="C818" s="37"/>
      <c r="D818" s="27"/>
      <c r="F818" s="16"/>
      <c r="G818" s="27"/>
      <c r="H818" s="27"/>
    </row>
    <row r="819">
      <c r="A819" s="31"/>
      <c r="B819" s="39"/>
      <c r="C819" s="37"/>
      <c r="D819" s="27"/>
      <c r="F819" s="16"/>
      <c r="G819" s="27"/>
      <c r="H819" s="27"/>
    </row>
    <row r="820">
      <c r="A820" s="31"/>
      <c r="B820" s="39"/>
      <c r="C820" s="37"/>
      <c r="D820" s="27"/>
      <c r="F820" s="16"/>
      <c r="G820" s="27"/>
      <c r="H820" s="27"/>
    </row>
    <row r="821">
      <c r="A821" s="31"/>
      <c r="B821" s="39"/>
      <c r="C821" s="37"/>
      <c r="D821" s="27"/>
      <c r="F821" s="16"/>
      <c r="G821" s="27"/>
      <c r="H821" s="27"/>
    </row>
    <row r="822">
      <c r="A822" s="31"/>
      <c r="B822" s="39"/>
      <c r="C822" s="37"/>
      <c r="D822" s="27"/>
      <c r="F822" s="16"/>
      <c r="G822" s="27"/>
      <c r="H822" s="27"/>
    </row>
    <row r="823">
      <c r="A823" s="31"/>
      <c r="B823" s="39"/>
      <c r="C823" s="37"/>
      <c r="D823" s="27"/>
      <c r="F823" s="16"/>
      <c r="G823" s="27"/>
      <c r="H823" s="27"/>
    </row>
    <row r="824">
      <c r="A824" s="31"/>
      <c r="B824" s="39"/>
      <c r="C824" s="37"/>
      <c r="D824" s="27"/>
      <c r="F824" s="16"/>
      <c r="G824" s="27"/>
      <c r="H824" s="27"/>
    </row>
    <row r="825">
      <c r="A825" s="31"/>
      <c r="B825" s="39"/>
      <c r="C825" s="37"/>
      <c r="D825" s="27"/>
      <c r="F825" s="16"/>
      <c r="G825" s="27"/>
      <c r="H825" s="27"/>
    </row>
    <row r="826">
      <c r="A826" s="31"/>
      <c r="B826" s="39"/>
      <c r="C826" s="37"/>
      <c r="D826" s="27"/>
      <c r="F826" s="16"/>
      <c r="G826" s="27"/>
      <c r="H826" s="27"/>
    </row>
    <row r="827">
      <c r="A827" s="31"/>
      <c r="B827" s="39"/>
      <c r="C827" s="37"/>
      <c r="D827" s="27"/>
      <c r="F827" s="16"/>
      <c r="G827" s="27"/>
      <c r="H827" s="27"/>
    </row>
    <row r="828">
      <c r="A828" s="31"/>
      <c r="B828" s="39"/>
      <c r="C828" s="37"/>
      <c r="D828" s="27"/>
      <c r="F828" s="16"/>
      <c r="G828" s="27"/>
      <c r="H828" s="27"/>
    </row>
    <row r="829">
      <c r="A829" s="31"/>
      <c r="B829" s="39"/>
      <c r="C829" s="37"/>
      <c r="D829" s="27"/>
      <c r="F829" s="16"/>
      <c r="G829" s="27"/>
      <c r="H829" s="27"/>
    </row>
    <row r="830">
      <c r="A830" s="31"/>
      <c r="B830" s="39"/>
      <c r="C830" s="37"/>
      <c r="D830" s="27"/>
      <c r="F830" s="16"/>
      <c r="G830" s="27"/>
      <c r="H830" s="27"/>
    </row>
    <row r="831">
      <c r="A831" s="31"/>
      <c r="B831" s="39"/>
      <c r="C831" s="37"/>
      <c r="D831" s="27"/>
      <c r="F831" s="16"/>
      <c r="G831" s="27"/>
      <c r="H831" s="27"/>
    </row>
    <row r="832">
      <c r="A832" s="31"/>
      <c r="B832" s="39"/>
      <c r="C832" s="37"/>
      <c r="D832" s="27"/>
      <c r="F832" s="16"/>
      <c r="G832" s="27"/>
      <c r="H832" s="27"/>
    </row>
    <row r="833">
      <c r="A833" s="31"/>
      <c r="B833" s="39"/>
      <c r="C833" s="37"/>
      <c r="D833" s="27"/>
      <c r="F833" s="16"/>
      <c r="G833" s="27"/>
      <c r="H833" s="27"/>
    </row>
    <row r="834">
      <c r="A834" s="31"/>
      <c r="B834" s="39"/>
      <c r="C834" s="37"/>
      <c r="D834" s="27"/>
      <c r="F834" s="16"/>
      <c r="G834" s="27"/>
      <c r="H834" s="27"/>
    </row>
    <row r="835">
      <c r="A835" s="31"/>
      <c r="B835" s="39"/>
      <c r="C835" s="37"/>
      <c r="D835" s="27"/>
      <c r="F835" s="16"/>
      <c r="G835" s="27"/>
      <c r="H835" s="27"/>
    </row>
    <row r="836">
      <c r="A836" s="31"/>
      <c r="B836" s="39"/>
      <c r="C836" s="37"/>
      <c r="D836" s="27"/>
      <c r="F836" s="16"/>
      <c r="G836" s="27"/>
      <c r="H836" s="27"/>
    </row>
    <row r="837">
      <c r="A837" s="31"/>
      <c r="B837" s="39"/>
      <c r="C837" s="37"/>
      <c r="D837" s="27"/>
      <c r="F837" s="16"/>
      <c r="G837" s="27"/>
      <c r="H837" s="27"/>
    </row>
    <row r="838">
      <c r="A838" s="31"/>
      <c r="B838" s="39"/>
      <c r="C838" s="37"/>
      <c r="D838" s="27"/>
      <c r="F838" s="16"/>
      <c r="G838" s="27"/>
      <c r="H838" s="27"/>
    </row>
    <row r="839">
      <c r="A839" s="31"/>
      <c r="B839" s="39"/>
      <c r="C839" s="37"/>
      <c r="D839" s="27"/>
      <c r="F839" s="16"/>
      <c r="G839" s="27"/>
      <c r="H839" s="27"/>
    </row>
    <row r="840">
      <c r="A840" s="31"/>
      <c r="B840" s="39"/>
      <c r="C840" s="37"/>
      <c r="D840" s="27"/>
      <c r="F840" s="16"/>
      <c r="G840" s="27"/>
      <c r="H840" s="27"/>
    </row>
    <row r="841">
      <c r="A841" s="31"/>
      <c r="B841" s="39"/>
      <c r="C841" s="37"/>
      <c r="D841" s="27"/>
      <c r="F841" s="16"/>
      <c r="G841" s="27"/>
      <c r="H841" s="27"/>
    </row>
    <row r="842">
      <c r="A842" s="31"/>
      <c r="B842" s="39"/>
      <c r="C842" s="37"/>
      <c r="D842" s="27"/>
      <c r="F842" s="16"/>
      <c r="G842" s="27"/>
      <c r="H842" s="27"/>
    </row>
    <row r="843">
      <c r="A843" s="31"/>
      <c r="B843" s="39"/>
      <c r="C843" s="37"/>
      <c r="D843" s="27"/>
      <c r="F843" s="16"/>
      <c r="G843" s="27"/>
      <c r="H843" s="27"/>
    </row>
    <row r="844">
      <c r="A844" s="31"/>
      <c r="B844" s="39"/>
      <c r="C844" s="37"/>
      <c r="D844" s="27"/>
      <c r="F844" s="16"/>
      <c r="G844" s="27"/>
      <c r="H844" s="27"/>
    </row>
    <row r="845">
      <c r="A845" s="31"/>
      <c r="B845" s="39"/>
      <c r="C845" s="37"/>
      <c r="D845" s="27"/>
      <c r="F845" s="16"/>
      <c r="G845" s="27"/>
      <c r="H845" s="27"/>
    </row>
    <row r="846">
      <c r="A846" s="31"/>
      <c r="B846" s="39"/>
      <c r="C846" s="37"/>
      <c r="D846" s="27"/>
      <c r="F846" s="16"/>
      <c r="G846" s="27"/>
      <c r="H846" s="27"/>
    </row>
    <row r="847">
      <c r="A847" s="31"/>
      <c r="B847" s="39"/>
      <c r="C847" s="37"/>
      <c r="D847" s="27"/>
      <c r="F847" s="16"/>
      <c r="G847" s="27"/>
      <c r="H847" s="27"/>
    </row>
    <row r="848">
      <c r="A848" s="31"/>
      <c r="B848" s="39"/>
      <c r="C848" s="37"/>
      <c r="D848" s="27"/>
      <c r="F848" s="16"/>
      <c r="G848" s="27"/>
      <c r="H848" s="27"/>
    </row>
    <row r="849">
      <c r="A849" s="31"/>
      <c r="B849" s="39"/>
      <c r="C849" s="37"/>
      <c r="D849" s="27"/>
      <c r="F849" s="16"/>
      <c r="G849" s="27"/>
      <c r="H849" s="27"/>
    </row>
    <row r="850">
      <c r="A850" s="31"/>
      <c r="B850" s="39"/>
      <c r="C850" s="37"/>
      <c r="D850" s="27"/>
      <c r="F850" s="16"/>
      <c r="G850" s="27"/>
      <c r="H850" s="27"/>
    </row>
    <row r="851">
      <c r="A851" s="31"/>
      <c r="B851" s="39"/>
      <c r="C851" s="37"/>
      <c r="D851" s="27"/>
      <c r="F851" s="16"/>
      <c r="G851" s="27"/>
      <c r="H851" s="27"/>
    </row>
    <row r="852">
      <c r="A852" s="31"/>
      <c r="B852" s="39"/>
      <c r="C852" s="37"/>
      <c r="D852" s="27"/>
      <c r="F852" s="16"/>
      <c r="G852" s="27"/>
      <c r="H852" s="27"/>
    </row>
    <row r="853">
      <c r="A853" s="31"/>
      <c r="B853" s="39"/>
      <c r="C853" s="37"/>
      <c r="D853" s="27"/>
      <c r="F853" s="16"/>
      <c r="G853" s="27"/>
      <c r="H853" s="27"/>
    </row>
    <row r="854">
      <c r="A854" s="31"/>
      <c r="B854" s="39"/>
      <c r="C854" s="37"/>
      <c r="D854" s="27"/>
      <c r="F854" s="16"/>
      <c r="G854" s="27"/>
      <c r="H854" s="27"/>
    </row>
    <row r="855">
      <c r="A855" s="31"/>
      <c r="B855" s="39"/>
      <c r="C855" s="37"/>
      <c r="D855" s="27"/>
      <c r="F855" s="16"/>
      <c r="G855" s="27"/>
      <c r="H855" s="27"/>
    </row>
    <row r="856">
      <c r="A856" s="31"/>
      <c r="B856" s="39"/>
      <c r="C856" s="37"/>
      <c r="D856" s="27"/>
      <c r="F856" s="16"/>
      <c r="G856" s="27"/>
      <c r="H856" s="27"/>
    </row>
    <row r="857">
      <c r="A857" s="31"/>
      <c r="B857" s="39"/>
      <c r="C857" s="37"/>
      <c r="D857" s="27"/>
      <c r="F857" s="16"/>
      <c r="G857" s="27"/>
      <c r="H857" s="27"/>
    </row>
    <row r="858">
      <c r="A858" s="31"/>
      <c r="B858" s="39"/>
      <c r="C858" s="37"/>
      <c r="D858" s="27"/>
      <c r="F858" s="16"/>
      <c r="G858" s="27"/>
      <c r="H858" s="27"/>
    </row>
    <row r="859">
      <c r="A859" s="31"/>
      <c r="B859" s="39"/>
      <c r="C859" s="37"/>
      <c r="D859" s="27"/>
      <c r="F859" s="16"/>
      <c r="G859" s="27"/>
      <c r="H859" s="27"/>
    </row>
    <row r="860">
      <c r="A860" s="31"/>
      <c r="B860" s="39"/>
      <c r="C860" s="37"/>
      <c r="D860" s="27"/>
      <c r="F860" s="16"/>
      <c r="G860" s="27"/>
      <c r="H860" s="27"/>
    </row>
    <row r="861">
      <c r="A861" s="31"/>
      <c r="B861" s="39"/>
      <c r="C861" s="37"/>
      <c r="D861" s="27"/>
      <c r="F861" s="16"/>
      <c r="G861" s="27"/>
      <c r="H861" s="27"/>
    </row>
    <row r="862">
      <c r="A862" s="31"/>
      <c r="B862" s="39"/>
      <c r="C862" s="37"/>
      <c r="D862" s="27"/>
      <c r="F862" s="16"/>
      <c r="G862" s="27"/>
      <c r="H862" s="27"/>
    </row>
    <row r="863">
      <c r="A863" s="31"/>
      <c r="B863" s="39"/>
      <c r="C863" s="37"/>
      <c r="D863" s="27"/>
      <c r="F863" s="16"/>
      <c r="G863" s="27"/>
      <c r="H863" s="27"/>
    </row>
    <row r="864">
      <c r="A864" s="31"/>
      <c r="B864" s="39"/>
      <c r="C864" s="37"/>
      <c r="D864" s="27"/>
      <c r="F864" s="16"/>
      <c r="G864" s="27"/>
      <c r="H864" s="27"/>
    </row>
    <row r="865">
      <c r="A865" s="31"/>
      <c r="B865" s="39"/>
      <c r="C865" s="37"/>
      <c r="D865" s="27"/>
      <c r="F865" s="16"/>
      <c r="G865" s="27"/>
      <c r="H865" s="27"/>
    </row>
    <row r="866">
      <c r="A866" s="31"/>
      <c r="B866" s="39"/>
      <c r="C866" s="37"/>
      <c r="D866" s="27"/>
      <c r="F866" s="16"/>
      <c r="G866" s="27"/>
      <c r="H866" s="27"/>
    </row>
    <row r="867">
      <c r="A867" s="31"/>
      <c r="B867" s="39"/>
      <c r="C867" s="37"/>
      <c r="D867" s="27"/>
      <c r="F867" s="16"/>
      <c r="G867" s="27"/>
      <c r="H867" s="27"/>
    </row>
    <row r="868">
      <c r="A868" s="31"/>
      <c r="B868" s="39"/>
      <c r="C868" s="37"/>
      <c r="D868" s="27"/>
      <c r="F868" s="16"/>
      <c r="G868" s="27"/>
      <c r="H868" s="27"/>
    </row>
    <row r="869">
      <c r="A869" s="31"/>
      <c r="B869" s="39"/>
      <c r="C869" s="37"/>
      <c r="D869" s="27"/>
      <c r="F869" s="16"/>
      <c r="G869" s="27"/>
      <c r="H869" s="27"/>
    </row>
    <row r="870">
      <c r="A870" s="31"/>
      <c r="B870" s="39"/>
      <c r="C870" s="37"/>
      <c r="D870" s="27"/>
      <c r="F870" s="16"/>
      <c r="G870" s="27"/>
      <c r="H870" s="27"/>
    </row>
    <row r="871">
      <c r="A871" s="31"/>
      <c r="B871" s="39"/>
      <c r="C871" s="37"/>
      <c r="D871" s="27"/>
      <c r="F871" s="16"/>
      <c r="G871" s="27"/>
      <c r="H871" s="27"/>
    </row>
    <row r="872">
      <c r="A872" s="31"/>
      <c r="B872" s="39"/>
      <c r="C872" s="37"/>
      <c r="D872" s="27"/>
      <c r="F872" s="16"/>
      <c r="G872" s="27"/>
      <c r="H872" s="27"/>
    </row>
    <row r="873">
      <c r="A873" s="31"/>
      <c r="B873" s="39"/>
      <c r="C873" s="37"/>
      <c r="D873" s="27"/>
      <c r="F873" s="16"/>
      <c r="G873" s="27"/>
      <c r="H873" s="27"/>
    </row>
    <row r="874">
      <c r="A874" s="31"/>
      <c r="B874" s="39"/>
      <c r="C874" s="37"/>
      <c r="D874" s="27"/>
      <c r="F874" s="16"/>
      <c r="G874" s="27"/>
      <c r="H874" s="27"/>
    </row>
    <row r="875">
      <c r="A875" s="31"/>
      <c r="B875" s="39"/>
      <c r="C875" s="37"/>
      <c r="D875" s="27"/>
      <c r="F875" s="16"/>
      <c r="G875" s="27"/>
      <c r="H875" s="27"/>
    </row>
    <row r="876">
      <c r="A876" s="31"/>
      <c r="B876" s="39"/>
      <c r="C876" s="37"/>
      <c r="D876" s="27"/>
      <c r="F876" s="16"/>
      <c r="G876" s="27"/>
      <c r="H876" s="27"/>
    </row>
    <row r="877">
      <c r="A877" s="31"/>
      <c r="B877" s="39"/>
      <c r="C877" s="37"/>
      <c r="D877" s="27"/>
      <c r="F877" s="16"/>
      <c r="G877" s="27"/>
      <c r="H877" s="27"/>
    </row>
    <row r="878">
      <c r="A878" s="31"/>
      <c r="B878" s="39"/>
      <c r="C878" s="37"/>
      <c r="D878" s="27"/>
      <c r="F878" s="16"/>
      <c r="G878" s="27"/>
      <c r="H878" s="27"/>
    </row>
    <row r="879">
      <c r="A879" s="31"/>
      <c r="B879" s="39"/>
      <c r="C879" s="37"/>
      <c r="D879" s="27"/>
      <c r="F879" s="16"/>
      <c r="G879" s="27"/>
      <c r="H879" s="27"/>
    </row>
    <row r="880">
      <c r="A880" s="31"/>
      <c r="B880" s="39"/>
      <c r="C880" s="37"/>
      <c r="D880" s="27"/>
      <c r="F880" s="16"/>
      <c r="G880" s="27"/>
      <c r="H880" s="27"/>
    </row>
    <row r="881">
      <c r="A881" s="31"/>
      <c r="B881" s="39"/>
      <c r="C881" s="37"/>
      <c r="D881" s="27"/>
      <c r="F881" s="16"/>
      <c r="G881" s="27"/>
      <c r="H881" s="27"/>
    </row>
    <row r="882">
      <c r="A882" s="31"/>
      <c r="B882" s="39"/>
      <c r="C882" s="37"/>
      <c r="D882" s="27"/>
      <c r="F882" s="16"/>
      <c r="G882" s="27"/>
      <c r="H882" s="27"/>
    </row>
    <row r="883">
      <c r="A883" s="31"/>
      <c r="B883" s="39"/>
      <c r="C883" s="37"/>
      <c r="D883" s="27"/>
      <c r="F883" s="16"/>
      <c r="G883" s="27"/>
      <c r="H883" s="27"/>
    </row>
    <row r="884">
      <c r="A884" s="31"/>
      <c r="B884" s="39"/>
      <c r="C884" s="37"/>
      <c r="D884" s="27"/>
      <c r="F884" s="16"/>
      <c r="G884" s="27"/>
      <c r="H884" s="27"/>
    </row>
    <row r="885">
      <c r="A885" s="31"/>
      <c r="B885" s="39"/>
      <c r="C885" s="37"/>
      <c r="D885" s="27"/>
      <c r="F885" s="16"/>
      <c r="G885" s="27"/>
      <c r="H885" s="27"/>
    </row>
    <row r="886">
      <c r="A886" s="31"/>
      <c r="B886" s="39"/>
      <c r="C886" s="37"/>
      <c r="D886" s="27"/>
      <c r="F886" s="16"/>
      <c r="G886" s="27"/>
      <c r="H886" s="27"/>
    </row>
    <row r="887">
      <c r="A887" s="31"/>
      <c r="B887" s="39"/>
      <c r="C887" s="37"/>
      <c r="D887" s="27"/>
      <c r="F887" s="16"/>
      <c r="G887" s="27"/>
      <c r="H887" s="27"/>
    </row>
    <row r="888">
      <c r="A888" s="31"/>
      <c r="B888" s="39"/>
      <c r="C888" s="37"/>
      <c r="D888" s="27"/>
      <c r="F888" s="16"/>
      <c r="G888" s="27"/>
      <c r="H888" s="27"/>
    </row>
    <row r="889">
      <c r="A889" s="31"/>
      <c r="B889" s="39"/>
      <c r="C889" s="37"/>
      <c r="D889" s="27"/>
      <c r="F889" s="16"/>
      <c r="G889" s="27"/>
      <c r="H889" s="27"/>
    </row>
    <row r="890">
      <c r="A890" s="31"/>
      <c r="B890" s="39"/>
      <c r="C890" s="37"/>
      <c r="D890" s="27"/>
      <c r="F890" s="16"/>
      <c r="G890" s="27"/>
      <c r="H890" s="27"/>
    </row>
    <row r="891">
      <c r="A891" s="31"/>
      <c r="B891" s="39"/>
      <c r="C891" s="37"/>
      <c r="D891" s="27"/>
      <c r="F891" s="16"/>
      <c r="G891" s="27"/>
      <c r="H891" s="27"/>
    </row>
    <row r="892">
      <c r="A892" s="31"/>
      <c r="B892" s="39"/>
      <c r="C892" s="37"/>
      <c r="D892" s="27"/>
      <c r="F892" s="16"/>
      <c r="G892" s="27"/>
      <c r="H892" s="27"/>
    </row>
    <row r="893">
      <c r="A893" s="31"/>
      <c r="B893" s="39"/>
      <c r="C893" s="37"/>
      <c r="D893" s="27"/>
      <c r="F893" s="16"/>
      <c r="G893" s="27"/>
      <c r="H893" s="27"/>
    </row>
    <row r="894">
      <c r="A894" s="31"/>
      <c r="B894" s="39"/>
      <c r="C894" s="37"/>
      <c r="D894" s="27"/>
      <c r="F894" s="16"/>
      <c r="G894" s="27"/>
      <c r="H894" s="27"/>
    </row>
    <row r="895">
      <c r="A895" s="31"/>
      <c r="B895" s="39"/>
      <c r="C895" s="37"/>
      <c r="D895" s="27"/>
      <c r="F895" s="16"/>
      <c r="G895" s="27"/>
      <c r="H895" s="27"/>
    </row>
    <row r="896">
      <c r="A896" s="31"/>
      <c r="B896" s="39"/>
      <c r="C896" s="37"/>
      <c r="D896" s="27"/>
      <c r="F896" s="16"/>
      <c r="G896" s="27"/>
      <c r="H896" s="27"/>
    </row>
    <row r="897">
      <c r="A897" s="31"/>
      <c r="B897" s="39"/>
      <c r="C897" s="37"/>
      <c r="D897" s="27"/>
      <c r="F897" s="16"/>
      <c r="G897" s="27"/>
      <c r="H897" s="27"/>
    </row>
    <row r="898">
      <c r="A898" s="31"/>
      <c r="B898" s="39"/>
      <c r="C898" s="37"/>
      <c r="D898" s="27"/>
      <c r="F898" s="16"/>
      <c r="G898" s="27"/>
      <c r="H898" s="27"/>
    </row>
    <row r="899">
      <c r="A899" s="31"/>
      <c r="B899" s="39"/>
      <c r="C899" s="37"/>
      <c r="D899" s="27"/>
      <c r="F899" s="16"/>
      <c r="G899" s="27"/>
      <c r="H899" s="27"/>
    </row>
    <row r="900">
      <c r="A900" s="31"/>
      <c r="B900" s="39"/>
      <c r="C900" s="37"/>
      <c r="D900" s="27"/>
      <c r="F900" s="16"/>
      <c r="G900" s="27"/>
      <c r="H900" s="27"/>
    </row>
    <row r="901">
      <c r="A901" s="31"/>
      <c r="B901" s="39"/>
      <c r="C901" s="37"/>
      <c r="D901" s="27"/>
      <c r="F901" s="16"/>
      <c r="G901" s="27"/>
      <c r="H901" s="27"/>
    </row>
    <row r="902">
      <c r="A902" s="31"/>
      <c r="B902" s="39"/>
      <c r="C902" s="37"/>
      <c r="D902" s="27"/>
      <c r="F902" s="16"/>
      <c r="G902" s="27"/>
      <c r="H902" s="27"/>
    </row>
    <row r="903">
      <c r="A903" s="31"/>
      <c r="B903" s="39"/>
      <c r="C903" s="37"/>
      <c r="D903" s="27"/>
      <c r="F903" s="16"/>
      <c r="G903" s="27"/>
      <c r="H903" s="27"/>
    </row>
    <row r="904">
      <c r="A904" s="31"/>
      <c r="B904" s="39"/>
      <c r="C904" s="37"/>
      <c r="D904" s="27"/>
      <c r="F904" s="16"/>
      <c r="G904" s="27"/>
      <c r="H904" s="27"/>
    </row>
    <row r="905">
      <c r="A905" s="31"/>
      <c r="B905" s="39"/>
      <c r="C905" s="37"/>
      <c r="D905" s="27"/>
      <c r="F905" s="16"/>
      <c r="G905" s="27"/>
      <c r="H905" s="27"/>
    </row>
    <row r="906">
      <c r="A906" s="31"/>
      <c r="B906" s="39"/>
      <c r="C906" s="37"/>
      <c r="D906" s="27"/>
      <c r="F906" s="16"/>
      <c r="G906" s="27"/>
      <c r="H906" s="27"/>
    </row>
    <row r="907">
      <c r="A907" s="31"/>
      <c r="B907" s="39"/>
      <c r="C907" s="37"/>
      <c r="D907" s="27"/>
      <c r="F907" s="16"/>
      <c r="G907" s="27"/>
      <c r="H907" s="27"/>
    </row>
    <row r="908">
      <c r="A908" s="31"/>
      <c r="B908" s="39"/>
      <c r="C908" s="37"/>
      <c r="D908" s="27"/>
      <c r="F908" s="16"/>
      <c r="G908" s="27"/>
      <c r="H908" s="27"/>
    </row>
    <row r="909">
      <c r="A909" s="31"/>
      <c r="B909" s="39"/>
      <c r="C909" s="37"/>
      <c r="D909" s="27"/>
      <c r="F909" s="16"/>
      <c r="G909" s="27"/>
      <c r="H909" s="27"/>
    </row>
    <row r="910">
      <c r="A910" s="31"/>
      <c r="B910" s="39"/>
      <c r="C910" s="37"/>
      <c r="D910" s="27"/>
      <c r="F910" s="16"/>
      <c r="G910" s="27"/>
      <c r="H910" s="27"/>
    </row>
    <row r="911">
      <c r="A911" s="31"/>
      <c r="B911" s="39"/>
      <c r="C911" s="37"/>
      <c r="D911" s="27"/>
      <c r="F911" s="16"/>
      <c r="G911" s="27"/>
      <c r="H911" s="27"/>
    </row>
    <row r="912">
      <c r="A912" s="31"/>
      <c r="B912" s="39"/>
      <c r="C912" s="37"/>
      <c r="D912" s="27"/>
      <c r="F912" s="16"/>
      <c r="G912" s="27"/>
      <c r="H912" s="27"/>
    </row>
    <row r="913">
      <c r="A913" s="31"/>
      <c r="B913" s="39"/>
      <c r="C913" s="37"/>
      <c r="D913" s="27"/>
      <c r="F913" s="16"/>
      <c r="G913" s="27"/>
      <c r="H913" s="27"/>
    </row>
    <row r="914">
      <c r="A914" s="31"/>
      <c r="B914" s="39"/>
      <c r="C914" s="37"/>
      <c r="D914" s="27"/>
      <c r="F914" s="16"/>
      <c r="G914" s="27"/>
      <c r="H914" s="27"/>
    </row>
    <row r="915">
      <c r="A915" s="31"/>
      <c r="B915" s="39"/>
      <c r="C915" s="37"/>
      <c r="D915" s="27"/>
      <c r="F915" s="16"/>
      <c r="G915" s="27"/>
      <c r="H915" s="27"/>
    </row>
    <row r="916">
      <c r="A916" s="31"/>
      <c r="B916" s="39"/>
      <c r="C916" s="37"/>
      <c r="D916" s="27"/>
      <c r="F916" s="16"/>
      <c r="G916" s="27"/>
      <c r="H916" s="27"/>
    </row>
    <row r="917">
      <c r="A917" s="31"/>
      <c r="B917" s="39"/>
      <c r="C917" s="37"/>
      <c r="D917" s="27"/>
      <c r="F917" s="16"/>
      <c r="G917" s="27"/>
      <c r="H917" s="27"/>
    </row>
    <row r="918">
      <c r="A918" s="31"/>
      <c r="B918" s="39"/>
      <c r="C918" s="37"/>
      <c r="D918" s="27"/>
      <c r="F918" s="16"/>
      <c r="G918" s="27"/>
      <c r="H918" s="27"/>
    </row>
    <row r="919">
      <c r="A919" s="31"/>
      <c r="B919" s="39"/>
      <c r="C919" s="37"/>
      <c r="D919" s="27"/>
      <c r="F919" s="16"/>
      <c r="G919" s="27"/>
      <c r="H919" s="27"/>
    </row>
    <row r="920">
      <c r="A920" s="31"/>
      <c r="B920" s="39"/>
      <c r="C920" s="37"/>
      <c r="D920" s="27"/>
      <c r="F920" s="16"/>
      <c r="G920" s="27"/>
      <c r="H920" s="27"/>
    </row>
    <row r="921">
      <c r="A921" s="31"/>
      <c r="B921" s="39"/>
      <c r="C921" s="37"/>
      <c r="D921" s="27"/>
      <c r="F921" s="16"/>
      <c r="G921" s="27"/>
      <c r="H921" s="27"/>
    </row>
    <row r="922">
      <c r="A922" s="31"/>
      <c r="B922" s="39"/>
      <c r="C922" s="37"/>
      <c r="D922" s="27"/>
      <c r="F922" s="16"/>
      <c r="G922" s="27"/>
      <c r="H922" s="27"/>
    </row>
    <row r="923">
      <c r="A923" s="31"/>
      <c r="B923" s="39"/>
      <c r="C923" s="37"/>
      <c r="D923" s="27"/>
      <c r="F923" s="16"/>
      <c r="G923" s="27"/>
      <c r="H923" s="27"/>
    </row>
    <row r="924">
      <c r="A924" s="31"/>
      <c r="B924" s="39"/>
      <c r="C924" s="37"/>
      <c r="D924" s="27"/>
      <c r="F924" s="16"/>
      <c r="G924" s="27"/>
      <c r="H924" s="27"/>
    </row>
    <row r="925">
      <c r="A925" s="31"/>
      <c r="B925" s="39"/>
      <c r="C925" s="37"/>
      <c r="D925" s="27"/>
      <c r="F925" s="16"/>
      <c r="G925" s="27"/>
      <c r="H925" s="27"/>
    </row>
    <row r="926">
      <c r="A926" s="31"/>
      <c r="B926" s="39"/>
      <c r="C926" s="37"/>
      <c r="D926" s="27"/>
      <c r="F926" s="16"/>
      <c r="G926" s="27"/>
      <c r="H926" s="27"/>
    </row>
    <row r="927">
      <c r="A927" s="31"/>
      <c r="B927" s="39"/>
      <c r="C927" s="37"/>
      <c r="D927" s="27"/>
      <c r="F927" s="16"/>
      <c r="G927" s="27"/>
      <c r="H927" s="27"/>
    </row>
    <row r="928">
      <c r="A928" s="31"/>
      <c r="B928" s="39"/>
      <c r="C928" s="37"/>
      <c r="D928" s="27"/>
      <c r="F928" s="16"/>
      <c r="G928" s="27"/>
      <c r="H928" s="27"/>
    </row>
    <row r="929">
      <c r="A929" s="31"/>
      <c r="B929" s="39"/>
      <c r="C929" s="37"/>
      <c r="D929" s="27"/>
      <c r="F929" s="16"/>
      <c r="G929" s="27"/>
      <c r="H929" s="27"/>
    </row>
    <row r="930">
      <c r="A930" s="31"/>
      <c r="B930" s="39"/>
      <c r="C930" s="37"/>
      <c r="D930" s="27"/>
      <c r="F930" s="16"/>
      <c r="G930" s="27"/>
      <c r="H930" s="27"/>
    </row>
    <row r="931">
      <c r="A931" s="31"/>
      <c r="B931" s="39"/>
      <c r="C931" s="37"/>
      <c r="D931" s="27"/>
      <c r="F931" s="16"/>
      <c r="G931" s="27"/>
      <c r="H931" s="27"/>
    </row>
    <row r="932">
      <c r="A932" s="31"/>
      <c r="B932" s="39"/>
      <c r="C932" s="37"/>
      <c r="D932" s="27"/>
      <c r="F932" s="16"/>
      <c r="G932" s="27"/>
      <c r="H932" s="27"/>
    </row>
    <row r="933">
      <c r="A933" s="31"/>
      <c r="B933" s="39"/>
      <c r="C933" s="37"/>
      <c r="D933" s="27"/>
      <c r="F933" s="16"/>
      <c r="G933" s="27"/>
      <c r="H933" s="27"/>
    </row>
    <row r="934">
      <c r="A934" s="31"/>
      <c r="B934" s="39"/>
      <c r="C934" s="37"/>
      <c r="D934" s="27"/>
      <c r="F934" s="16"/>
      <c r="G934" s="27"/>
      <c r="H934" s="27"/>
    </row>
    <row r="935">
      <c r="A935" s="31"/>
      <c r="B935" s="39"/>
      <c r="C935" s="37"/>
      <c r="D935" s="27"/>
      <c r="F935" s="16"/>
      <c r="G935" s="27"/>
      <c r="H935" s="27"/>
    </row>
    <row r="936">
      <c r="A936" s="31"/>
      <c r="B936" s="39"/>
      <c r="C936" s="37"/>
      <c r="D936" s="27"/>
      <c r="F936" s="16"/>
      <c r="G936" s="27"/>
      <c r="H936" s="27"/>
    </row>
    <row r="937">
      <c r="A937" s="31"/>
      <c r="B937" s="39"/>
      <c r="C937" s="37"/>
      <c r="D937" s="27"/>
      <c r="F937" s="16"/>
      <c r="G937" s="27"/>
      <c r="H937" s="27"/>
    </row>
    <row r="938">
      <c r="A938" s="31"/>
      <c r="B938" s="39"/>
      <c r="C938" s="37"/>
      <c r="D938" s="27"/>
      <c r="F938" s="16"/>
      <c r="G938" s="27"/>
      <c r="H938" s="27"/>
    </row>
    <row r="939">
      <c r="A939" s="31"/>
      <c r="B939" s="39"/>
      <c r="C939" s="37"/>
      <c r="D939" s="27"/>
      <c r="F939" s="16"/>
      <c r="G939" s="27"/>
      <c r="H939" s="27"/>
    </row>
    <row r="940">
      <c r="A940" s="31"/>
      <c r="B940" s="39"/>
      <c r="C940" s="37"/>
      <c r="D940" s="27"/>
      <c r="F940" s="16"/>
      <c r="G940" s="27"/>
      <c r="H940" s="27"/>
    </row>
    <row r="941">
      <c r="A941" s="31"/>
      <c r="B941" s="39"/>
      <c r="C941" s="37"/>
      <c r="D941" s="27"/>
      <c r="F941" s="16"/>
      <c r="G941" s="27"/>
      <c r="H941" s="27"/>
    </row>
    <row r="942">
      <c r="A942" s="31"/>
      <c r="B942" s="39"/>
      <c r="C942" s="37"/>
      <c r="D942" s="27"/>
      <c r="F942" s="16"/>
      <c r="G942" s="27"/>
      <c r="H942" s="27"/>
    </row>
    <row r="943">
      <c r="A943" s="31"/>
      <c r="B943" s="39"/>
      <c r="C943" s="37"/>
      <c r="D943" s="27"/>
      <c r="F943" s="16"/>
      <c r="G943" s="27"/>
      <c r="H943" s="27"/>
    </row>
    <row r="944">
      <c r="A944" s="31"/>
      <c r="B944" s="39"/>
      <c r="C944" s="37"/>
      <c r="D944" s="27"/>
      <c r="F944" s="16"/>
      <c r="G944" s="27"/>
      <c r="H944" s="27"/>
    </row>
    <row r="945">
      <c r="A945" s="31"/>
      <c r="B945" s="39"/>
      <c r="C945" s="37"/>
      <c r="D945" s="27"/>
      <c r="F945" s="16"/>
      <c r="G945" s="27"/>
      <c r="H945" s="27"/>
    </row>
    <row r="946">
      <c r="A946" s="31"/>
      <c r="B946" s="39"/>
      <c r="C946" s="37"/>
      <c r="D946" s="27"/>
      <c r="F946" s="16"/>
      <c r="G946" s="27"/>
      <c r="H946" s="27"/>
    </row>
    <row r="947">
      <c r="A947" s="31"/>
      <c r="B947" s="39"/>
      <c r="C947" s="37"/>
      <c r="D947" s="27"/>
      <c r="F947" s="16"/>
      <c r="G947" s="27"/>
      <c r="H947" s="27"/>
    </row>
    <row r="948">
      <c r="A948" s="31"/>
      <c r="B948" s="39"/>
      <c r="C948" s="37"/>
      <c r="D948" s="27"/>
      <c r="F948" s="16"/>
      <c r="G948" s="27"/>
      <c r="H948" s="27"/>
    </row>
    <row r="949">
      <c r="A949" s="31"/>
      <c r="B949" s="39"/>
      <c r="C949" s="37"/>
      <c r="D949" s="27"/>
      <c r="F949" s="16"/>
      <c r="G949" s="27"/>
      <c r="H949" s="27"/>
    </row>
    <row r="950">
      <c r="A950" s="31"/>
      <c r="B950" s="39"/>
      <c r="C950" s="37"/>
      <c r="D950" s="27"/>
      <c r="F950" s="16"/>
      <c r="G950" s="27"/>
      <c r="H950" s="27"/>
    </row>
    <row r="951">
      <c r="A951" s="31"/>
      <c r="B951" s="39"/>
      <c r="C951" s="37"/>
      <c r="D951" s="27"/>
      <c r="F951" s="16"/>
      <c r="G951" s="27"/>
      <c r="H951" s="27"/>
    </row>
    <row r="952">
      <c r="A952" s="31"/>
      <c r="B952" s="39"/>
      <c r="C952" s="37"/>
      <c r="D952" s="27"/>
      <c r="F952" s="16"/>
      <c r="G952" s="27"/>
      <c r="H952" s="27"/>
    </row>
    <row r="953">
      <c r="A953" s="31"/>
      <c r="B953" s="39"/>
      <c r="C953" s="37"/>
      <c r="D953" s="27"/>
      <c r="F953" s="16"/>
      <c r="G953" s="27"/>
      <c r="H953" s="27"/>
    </row>
    <row r="954">
      <c r="A954" s="31"/>
      <c r="B954" s="39"/>
      <c r="C954" s="37"/>
      <c r="D954" s="27"/>
      <c r="F954" s="16"/>
      <c r="G954" s="27"/>
      <c r="H954" s="27"/>
    </row>
    <row r="955">
      <c r="A955" s="31"/>
      <c r="B955" s="39"/>
      <c r="C955" s="37"/>
      <c r="D955" s="27"/>
      <c r="F955" s="16"/>
      <c r="G955" s="27"/>
      <c r="H955" s="27"/>
    </row>
    <row r="956">
      <c r="A956" s="31"/>
      <c r="B956" s="39"/>
      <c r="C956" s="37"/>
      <c r="D956" s="27"/>
      <c r="F956" s="16"/>
      <c r="G956" s="27"/>
      <c r="H956" s="27"/>
    </row>
    <row r="957">
      <c r="A957" s="31"/>
      <c r="B957" s="39"/>
      <c r="C957" s="37"/>
      <c r="D957" s="27"/>
      <c r="F957" s="16"/>
      <c r="G957" s="27"/>
      <c r="H957" s="27"/>
    </row>
    <row r="958">
      <c r="A958" s="31"/>
      <c r="B958" s="39"/>
      <c r="C958" s="37"/>
      <c r="D958" s="27"/>
      <c r="F958" s="16"/>
      <c r="G958" s="27"/>
      <c r="H958" s="27"/>
    </row>
    <row r="959">
      <c r="A959" s="31"/>
      <c r="B959" s="39"/>
      <c r="C959" s="37"/>
      <c r="D959" s="27"/>
      <c r="F959" s="16"/>
      <c r="G959" s="27"/>
      <c r="H959" s="27"/>
    </row>
    <row r="960">
      <c r="A960" s="31"/>
      <c r="B960" s="39"/>
      <c r="C960" s="37"/>
      <c r="D960" s="27"/>
      <c r="F960" s="16"/>
      <c r="G960" s="27"/>
      <c r="H960" s="27"/>
    </row>
    <row r="961">
      <c r="A961" s="31"/>
      <c r="B961" s="39"/>
      <c r="C961" s="37"/>
      <c r="D961" s="27"/>
      <c r="F961" s="16"/>
      <c r="G961" s="27"/>
      <c r="H961" s="27"/>
    </row>
    <row r="962">
      <c r="A962" s="31"/>
      <c r="B962" s="39"/>
      <c r="C962" s="37"/>
      <c r="D962" s="27"/>
      <c r="F962" s="16"/>
      <c r="G962" s="27"/>
      <c r="H962" s="27"/>
    </row>
    <row r="963">
      <c r="A963" s="31"/>
      <c r="B963" s="39"/>
      <c r="C963" s="37"/>
      <c r="D963" s="27"/>
      <c r="F963" s="16"/>
      <c r="G963" s="27"/>
      <c r="H963" s="27"/>
    </row>
    <row r="964">
      <c r="A964" s="31"/>
      <c r="B964" s="39"/>
      <c r="C964" s="37"/>
      <c r="D964" s="27"/>
      <c r="F964" s="16"/>
      <c r="G964" s="27"/>
      <c r="H964" s="27"/>
    </row>
    <row r="965">
      <c r="A965" s="31"/>
      <c r="B965" s="39"/>
      <c r="C965" s="37"/>
      <c r="D965" s="27"/>
      <c r="F965" s="16"/>
      <c r="G965" s="27"/>
      <c r="H965" s="27"/>
    </row>
    <row r="966">
      <c r="A966" s="31"/>
      <c r="B966" s="39"/>
      <c r="C966" s="37"/>
      <c r="D966" s="27"/>
      <c r="F966" s="16"/>
      <c r="G966" s="27"/>
      <c r="H966" s="27"/>
    </row>
    <row r="967">
      <c r="A967" s="31"/>
      <c r="B967" s="39"/>
      <c r="C967" s="37"/>
      <c r="D967" s="27"/>
      <c r="F967" s="16"/>
      <c r="G967" s="27"/>
      <c r="H967" s="27"/>
    </row>
    <row r="968">
      <c r="A968" s="31"/>
      <c r="B968" s="39"/>
      <c r="C968" s="37"/>
      <c r="D968" s="27"/>
      <c r="F968" s="16"/>
      <c r="G968" s="27"/>
      <c r="H968" s="27"/>
    </row>
    <row r="969">
      <c r="A969" s="31"/>
      <c r="B969" s="39"/>
      <c r="C969" s="37"/>
      <c r="D969" s="27"/>
      <c r="F969" s="16"/>
      <c r="G969" s="27"/>
      <c r="H969" s="27"/>
    </row>
    <row r="970">
      <c r="A970" s="31"/>
      <c r="B970" s="39"/>
      <c r="C970" s="37"/>
      <c r="D970" s="27"/>
      <c r="F970" s="16"/>
      <c r="G970" s="27"/>
      <c r="H970" s="27"/>
    </row>
    <row r="971">
      <c r="A971" s="31"/>
      <c r="B971" s="39"/>
      <c r="C971" s="37"/>
      <c r="D971" s="27"/>
      <c r="F971" s="16"/>
      <c r="G971" s="27"/>
      <c r="H971" s="27"/>
    </row>
    <row r="972">
      <c r="A972" s="31"/>
      <c r="B972" s="39"/>
      <c r="C972" s="37"/>
      <c r="D972" s="27"/>
      <c r="F972" s="16"/>
      <c r="G972" s="27"/>
      <c r="H972" s="27"/>
    </row>
    <row r="973">
      <c r="A973" s="31"/>
      <c r="B973" s="39"/>
      <c r="C973" s="37"/>
      <c r="D973" s="27"/>
      <c r="F973" s="16"/>
      <c r="G973" s="27"/>
      <c r="H973" s="27"/>
    </row>
    <row r="974">
      <c r="A974" s="31"/>
      <c r="B974" s="39"/>
      <c r="C974" s="37"/>
      <c r="D974" s="27"/>
      <c r="F974" s="16"/>
      <c r="G974" s="27"/>
      <c r="H974" s="27"/>
    </row>
    <row r="975">
      <c r="A975" s="31"/>
      <c r="B975" s="39"/>
      <c r="C975" s="37"/>
      <c r="D975" s="27"/>
      <c r="F975" s="16"/>
      <c r="G975" s="27"/>
      <c r="H975" s="27"/>
    </row>
    <row r="976">
      <c r="A976" s="31"/>
      <c r="B976" s="39"/>
      <c r="C976" s="37"/>
      <c r="D976" s="27"/>
      <c r="F976" s="16"/>
      <c r="G976" s="27"/>
      <c r="H976" s="27"/>
    </row>
    <row r="977">
      <c r="A977" s="31"/>
      <c r="B977" s="39"/>
      <c r="C977" s="37"/>
      <c r="D977" s="27"/>
      <c r="F977" s="16"/>
      <c r="G977" s="27"/>
      <c r="H977" s="27"/>
    </row>
    <row r="978">
      <c r="A978" s="31"/>
      <c r="B978" s="39"/>
      <c r="C978" s="37"/>
      <c r="D978" s="27"/>
      <c r="F978" s="16"/>
      <c r="G978" s="27"/>
      <c r="H978" s="27"/>
    </row>
    <row r="979">
      <c r="A979" s="31"/>
      <c r="B979" s="39"/>
      <c r="C979" s="37"/>
      <c r="D979" s="27"/>
      <c r="F979" s="16"/>
      <c r="G979" s="27"/>
      <c r="H979" s="27"/>
    </row>
    <row r="980">
      <c r="A980" s="31"/>
      <c r="B980" s="39"/>
      <c r="C980" s="37"/>
      <c r="D980" s="27"/>
      <c r="F980" s="16"/>
      <c r="G980" s="27"/>
      <c r="H980" s="27"/>
    </row>
    <row r="981">
      <c r="A981" s="31"/>
      <c r="B981" s="39"/>
      <c r="C981" s="37"/>
      <c r="D981" s="27"/>
      <c r="F981" s="16"/>
      <c r="G981" s="27"/>
      <c r="H981" s="27"/>
    </row>
    <row r="982">
      <c r="A982" s="31"/>
      <c r="B982" s="39"/>
      <c r="C982" s="37"/>
      <c r="D982" s="27"/>
      <c r="F982" s="16"/>
      <c r="G982" s="27"/>
      <c r="H982" s="27"/>
    </row>
    <row r="983">
      <c r="A983" s="31"/>
      <c r="B983" s="39"/>
      <c r="C983" s="37"/>
      <c r="D983" s="27"/>
      <c r="F983" s="16"/>
      <c r="G983" s="27"/>
      <c r="H983" s="27"/>
    </row>
    <row r="984">
      <c r="A984" s="31"/>
      <c r="B984" s="39"/>
      <c r="C984" s="37"/>
      <c r="D984" s="27"/>
      <c r="F984" s="16"/>
      <c r="G984" s="27"/>
      <c r="H984" s="27"/>
    </row>
    <row r="985">
      <c r="A985" s="31"/>
      <c r="B985" s="39"/>
      <c r="C985" s="37"/>
      <c r="D985" s="27"/>
      <c r="F985" s="16"/>
      <c r="G985" s="27"/>
      <c r="H985" s="27"/>
    </row>
    <row r="986">
      <c r="A986" s="31"/>
      <c r="B986" s="39"/>
      <c r="C986" s="37"/>
      <c r="D986" s="27"/>
      <c r="F986" s="16"/>
      <c r="G986" s="27"/>
      <c r="H986" s="27"/>
    </row>
    <row r="987">
      <c r="A987" s="31"/>
      <c r="B987" s="39"/>
      <c r="C987" s="37"/>
      <c r="D987" s="27"/>
      <c r="F987" s="16"/>
      <c r="G987" s="27"/>
      <c r="H987" s="27"/>
    </row>
    <row r="988">
      <c r="A988" s="31"/>
      <c r="B988" s="39"/>
      <c r="C988" s="37"/>
      <c r="D988" s="27"/>
      <c r="F988" s="16"/>
      <c r="G988" s="27"/>
      <c r="H988" s="27"/>
    </row>
    <row r="989">
      <c r="A989" s="31"/>
      <c r="B989" s="39"/>
      <c r="C989" s="37"/>
      <c r="D989" s="27"/>
      <c r="F989" s="16"/>
      <c r="G989" s="27"/>
      <c r="H989" s="27"/>
    </row>
    <row r="990">
      <c r="A990" s="31"/>
      <c r="B990" s="39"/>
      <c r="C990" s="37"/>
      <c r="D990" s="27"/>
      <c r="F990" s="16"/>
      <c r="G990" s="27"/>
      <c r="H990" s="27"/>
    </row>
    <row r="991">
      <c r="A991" s="31"/>
      <c r="B991" s="39"/>
      <c r="C991" s="37"/>
      <c r="D991" s="27"/>
      <c r="F991" s="16"/>
      <c r="G991" s="27"/>
      <c r="H991" s="27"/>
    </row>
    <row r="992">
      <c r="A992" s="31"/>
      <c r="B992" s="39"/>
      <c r="C992" s="37"/>
      <c r="D992" s="27"/>
      <c r="F992" s="16"/>
      <c r="G992" s="27"/>
      <c r="H992" s="27"/>
    </row>
    <row r="993">
      <c r="A993" s="31"/>
      <c r="B993" s="39"/>
      <c r="C993" s="37"/>
      <c r="D993" s="27"/>
      <c r="F993" s="16"/>
      <c r="G993" s="27"/>
      <c r="H993" s="27"/>
    </row>
    <row r="994">
      <c r="A994" s="31"/>
      <c r="B994" s="39"/>
      <c r="C994" s="37"/>
      <c r="D994" s="27"/>
      <c r="F994" s="16"/>
      <c r="G994" s="27"/>
      <c r="H994" s="27"/>
    </row>
    <row r="995">
      <c r="A995" s="31"/>
      <c r="B995" s="39"/>
      <c r="C995" s="37"/>
      <c r="D995" s="27"/>
      <c r="F995" s="16"/>
      <c r="G995" s="27"/>
      <c r="H995" s="27"/>
    </row>
    <row r="996">
      <c r="A996" s="31"/>
      <c r="B996" s="39"/>
      <c r="C996" s="37"/>
      <c r="D996" s="27"/>
      <c r="F996" s="16"/>
      <c r="G996" s="27"/>
      <c r="H996" s="27"/>
    </row>
    <row r="997">
      <c r="A997" s="31"/>
      <c r="B997" s="39"/>
      <c r="C997" s="37"/>
      <c r="D997" s="27"/>
      <c r="F997" s="16"/>
      <c r="G997" s="27"/>
      <c r="H997" s="27"/>
    </row>
    <row r="998">
      <c r="A998" s="31"/>
      <c r="B998" s="39"/>
      <c r="C998" s="37"/>
      <c r="D998" s="27"/>
      <c r="F998" s="16"/>
      <c r="G998" s="27"/>
      <c r="H998" s="27"/>
    </row>
    <row r="999">
      <c r="A999" s="31"/>
      <c r="B999" s="39"/>
      <c r="C999" s="37"/>
      <c r="D999" s="27"/>
      <c r="F999" s="16"/>
      <c r="G999" s="27"/>
      <c r="H999" s="27"/>
    </row>
    <row r="1000">
      <c r="A1000" s="31"/>
      <c r="B1000" s="39"/>
      <c r="C1000" s="37"/>
      <c r="D1000" s="27"/>
      <c r="F1000" s="16"/>
      <c r="G1000" s="27"/>
      <c r="H1000" s="27"/>
    </row>
  </sheetData>
  <conditionalFormatting sqref="F2:F1000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4.75"/>
    <col customWidth="1" min="3" max="3" width="19.63"/>
    <col customWidth="1" min="4" max="4" width="9.0"/>
    <col customWidth="1" min="5" max="5" width="12.25"/>
    <col customWidth="1" min="6" max="6" width="14.75"/>
    <col customWidth="1" min="7" max="7" width="26.5"/>
    <col customWidth="1" min="8" max="8" width="12.13"/>
    <col customWidth="1" min="9" max="9" width="10.0"/>
    <col customWidth="1" min="10" max="10" width="14.38"/>
  </cols>
  <sheetData>
    <row r="1">
      <c r="A1" s="13" t="s">
        <v>54</v>
      </c>
      <c r="B1" s="13" t="s">
        <v>58</v>
      </c>
      <c r="C1" s="13" t="s">
        <v>61</v>
      </c>
      <c r="D1" s="13" t="s">
        <v>63</v>
      </c>
      <c r="E1" s="13" t="s">
        <v>64</v>
      </c>
      <c r="F1" s="13" t="s">
        <v>65</v>
      </c>
      <c r="G1" s="13" t="s">
        <v>66</v>
      </c>
      <c r="H1" s="13" t="s">
        <v>68</v>
      </c>
      <c r="I1" s="13" t="s">
        <v>69</v>
      </c>
      <c r="J1" s="13" t="s">
        <v>70</v>
      </c>
    </row>
    <row r="2">
      <c r="A2" s="17" t="s">
        <v>72</v>
      </c>
      <c r="B2" s="20">
        <v>522091.0</v>
      </c>
      <c r="C2" s="17" t="s">
        <v>75</v>
      </c>
      <c r="D2" s="24">
        <v>0.3571</v>
      </c>
      <c r="E2" s="25">
        <v>4.0</v>
      </c>
      <c r="F2" s="20">
        <v>335169.0</v>
      </c>
      <c r="G2" s="17" t="s">
        <v>77</v>
      </c>
      <c r="H2" s="24">
        <v>0.8712</v>
      </c>
      <c r="I2" s="25">
        <v>106.0</v>
      </c>
      <c r="J2" s="29">
        <f t="shared" ref="J2:J115" si="1">D2-H2</f>
        <v>-0.5141</v>
      </c>
    </row>
    <row r="3">
      <c r="A3" s="17" t="s">
        <v>81</v>
      </c>
      <c r="B3" s="20">
        <v>522138.0</v>
      </c>
      <c r="C3" s="17" t="s">
        <v>83</v>
      </c>
      <c r="D3" s="24">
        <v>0.5</v>
      </c>
      <c r="E3" s="25">
        <v>1.0</v>
      </c>
      <c r="F3" s="20">
        <v>521223.0</v>
      </c>
      <c r="G3" s="17" t="s">
        <v>81</v>
      </c>
      <c r="H3" s="24">
        <v>0.9198</v>
      </c>
      <c r="I3" s="25">
        <v>1169.0</v>
      </c>
      <c r="J3" s="29">
        <f t="shared" si="1"/>
        <v>-0.4198</v>
      </c>
    </row>
    <row r="4">
      <c r="A4" s="17" t="s">
        <v>111</v>
      </c>
      <c r="B4" s="20">
        <v>522122.0</v>
      </c>
      <c r="C4" s="17" t="s">
        <v>118</v>
      </c>
      <c r="D4" s="24">
        <v>0.6</v>
      </c>
      <c r="E4" s="25">
        <v>8.0</v>
      </c>
      <c r="F4" s="20">
        <v>426889.0</v>
      </c>
      <c r="G4" s="17" t="s">
        <v>111</v>
      </c>
      <c r="H4" s="24">
        <v>0.8285</v>
      </c>
      <c r="I4" s="25">
        <v>850.0</v>
      </c>
      <c r="J4" s="29">
        <f t="shared" si="1"/>
        <v>-0.2285</v>
      </c>
    </row>
    <row r="5">
      <c r="A5" s="17" t="s">
        <v>130</v>
      </c>
      <c r="B5" s="20">
        <v>522081.0</v>
      </c>
      <c r="C5" s="17" t="s">
        <v>135</v>
      </c>
      <c r="D5" s="24">
        <v>0.619</v>
      </c>
      <c r="E5" s="25">
        <v>37.0</v>
      </c>
      <c r="F5" s="20">
        <v>547656.0</v>
      </c>
      <c r="G5" s="17" t="s">
        <v>140</v>
      </c>
      <c r="H5" s="24">
        <v>0.7943</v>
      </c>
      <c r="I5" s="25">
        <v>470.0</v>
      </c>
      <c r="J5" s="29">
        <f t="shared" si="1"/>
        <v>-0.1753</v>
      </c>
    </row>
    <row r="6">
      <c r="A6" s="17" t="s">
        <v>146</v>
      </c>
      <c r="B6" s="20">
        <v>522099.0</v>
      </c>
      <c r="C6" s="17" t="s">
        <v>152</v>
      </c>
      <c r="D6" s="24">
        <v>0.6364</v>
      </c>
      <c r="E6" s="25">
        <v>7.0</v>
      </c>
      <c r="F6" s="20">
        <v>125266.0</v>
      </c>
      <c r="G6" s="17" t="s">
        <v>146</v>
      </c>
      <c r="H6" s="24">
        <v>0.8578</v>
      </c>
      <c r="I6" s="25">
        <v>477.0</v>
      </c>
      <c r="J6" s="29">
        <f t="shared" si="1"/>
        <v>-0.2214</v>
      </c>
    </row>
    <row r="7">
      <c r="A7" s="17" t="s">
        <v>177</v>
      </c>
      <c r="B7" s="20">
        <v>522104.0</v>
      </c>
      <c r="C7" s="17" t="s">
        <v>181</v>
      </c>
      <c r="D7" s="24">
        <v>0.6599</v>
      </c>
      <c r="E7" s="25">
        <v>181.0</v>
      </c>
      <c r="F7" s="20">
        <v>435680.0</v>
      </c>
      <c r="G7" s="17" t="s">
        <v>191</v>
      </c>
      <c r="H7" s="24">
        <v>0.7232</v>
      </c>
      <c r="I7" s="25">
        <v>591.0</v>
      </c>
      <c r="J7" s="29">
        <f t="shared" si="1"/>
        <v>-0.0633</v>
      </c>
    </row>
    <row r="8">
      <c r="A8" s="17" t="s">
        <v>199</v>
      </c>
      <c r="B8" s="20">
        <v>522125.0</v>
      </c>
      <c r="C8" s="17" t="s">
        <v>203</v>
      </c>
      <c r="D8" s="24">
        <v>0.6667</v>
      </c>
      <c r="E8" s="25">
        <v>2.0</v>
      </c>
      <c r="F8" s="20">
        <v>377229.0</v>
      </c>
      <c r="G8" s="17" t="s">
        <v>211</v>
      </c>
      <c r="H8" s="24">
        <v>0.9153</v>
      </c>
      <c r="I8" s="25">
        <v>406.0</v>
      </c>
      <c r="J8" s="29">
        <f t="shared" si="1"/>
        <v>-0.2486</v>
      </c>
    </row>
    <row r="9">
      <c r="A9" s="17" t="s">
        <v>221</v>
      </c>
      <c r="B9" s="20">
        <v>522136.0</v>
      </c>
      <c r="C9" s="17" t="s">
        <v>227</v>
      </c>
      <c r="D9" s="24">
        <v>0.6667</v>
      </c>
      <c r="E9" s="25">
        <v>2.0</v>
      </c>
      <c r="F9" s="20">
        <v>127578.0</v>
      </c>
      <c r="G9" s="17" t="s">
        <v>221</v>
      </c>
      <c r="H9" s="24">
        <v>0.8858</v>
      </c>
      <c r="I9" s="25">
        <v>410.0</v>
      </c>
      <c r="J9" s="29">
        <f t="shared" si="1"/>
        <v>-0.2191</v>
      </c>
    </row>
    <row r="10">
      <c r="A10" s="17" t="s">
        <v>255</v>
      </c>
      <c r="B10" s="20">
        <v>569757.0</v>
      </c>
      <c r="C10" s="17" t="s">
        <v>267</v>
      </c>
      <c r="D10" s="24">
        <v>0.7114</v>
      </c>
      <c r="E10" s="25">
        <v>236.0</v>
      </c>
      <c r="F10" s="20">
        <v>532035.0</v>
      </c>
      <c r="G10" s="17" t="s">
        <v>255</v>
      </c>
      <c r="H10" s="24">
        <v>0.7902</v>
      </c>
      <c r="I10" s="25">
        <v>465.0</v>
      </c>
      <c r="J10" s="29">
        <f t="shared" si="1"/>
        <v>-0.0788</v>
      </c>
    </row>
    <row r="11">
      <c r="A11" s="17" t="s">
        <v>281</v>
      </c>
      <c r="B11" s="20">
        <v>522121.0</v>
      </c>
      <c r="C11" s="17" t="s">
        <v>287</v>
      </c>
      <c r="D11" s="24">
        <v>0.75</v>
      </c>
      <c r="E11" s="25">
        <v>2.0</v>
      </c>
      <c r="F11" s="20">
        <v>449786.0</v>
      </c>
      <c r="G11" s="17" t="s">
        <v>281</v>
      </c>
      <c r="H11" s="24">
        <v>0.9204</v>
      </c>
      <c r="I11" s="25">
        <v>594.0</v>
      </c>
      <c r="J11" s="29">
        <f t="shared" si="1"/>
        <v>-0.1704</v>
      </c>
    </row>
    <row r="12">
      <c r="A12" s="17" t="s">
        <v>305</v>
      </c>
      <c r="B12" s="20">
        <v>522103.0</v>
      </c>
      <c r="C12" s="17" t="s">
        <v>310</v>
      </c>
      <c r="D12" s="24">
        <v>0.7745</v>
      </c>
      <c r="E12" s="25">
        <v>160.0</v>
      </c>
      <c r="F12" s="20">
        <v>475579.0</v>
      </c>
      <c r="G12" s="17" t="s">
        <v>317</v>
      </c>
      <c r="H12" s="24">
        <v>0.8419</v>
      </c>
      <c r="I12" s="25">
        <v>587.0</v>
      </c>
      <c r="J12" s="29">
        <f t="shared" si="1"/>
        <v>-0.0674</v>
      </c>
    </row>
    <row r="13">
      <c r="A13" s="17" t="s">
        <v>326</v>
      </c>
      <c r="B13" s="20">
        <v>522191.0</v>
      </c>
      <c r="C13" s="17" t="s">
        <v>333</v>
      </c>
      <c r="D13" s="24">
        <v>0.7778</v>
      </c>
      <c r="E13" s="25">
        <v>7.0</v>
      </c>
      <c r="F13" s="20">
        <v>358815.0</v>
      </c>
      <c r="G13" s="17" t="s">
        <v>326</v>
      </c>
      <c r="H13" s="24">
        <v>0.8928</v>
      </c>
      <c r="I13" s="25">
        <v>705.0</v>
      </c>
      <c r="J13" s="29">
        <f t="shared" si="1"/>
        <v>-0.115</v>
      </c>
    </row>
    <row r="14">
      <c r="A14" s="17" t="s">
        <v>355</v>
      </c>
      <c r="B14" s="20">
        <v>521856.0</v>
      </c>
      <c r="C14" s="17" t="s">
        <v>359</v>
      </c>
      <c r="D14" s="24">
        <v>0.7784</v>
      </c>
      <c r="E14" s="25">
        <v>130.0</v>
      </c>
      <c r="F14" s="20">
        <v>377228.0</v>
      </c>
      <c r="G14" s="17" t="s">
        <v>366</v>
      </c>
      <c r="H14" s="24">
        <v>0.8304</v>
      </c>
      <c r="I14" s="25">
        <v>436.0</v>
      </c>
      <c r="J14" s="29">
        <f t="shared" si="1"/>
        <v>-0.052</v>
      </c>
    </row>
    <row r="15">
      <c r="A15" s="17" t="s">
        <v>285</v>
      </c>
      <c r="B15" s="20">
        <v>522113.0</v>
      </c>
      <c r="C15" s="17" t="s">
        <v>378</v>
      </c>
      <c r="D15" s="24">
        <v>0.7895</v>
      </c>
      <c r="E15" s="25">
        <v>5.0</v>
      </c>
      <c r="F15" s="20">
        <v>181314.0</v>
      </c>
      <c r="G15" s="17" t="s">
        <v>285</v>
      </c>
      <c r="H15" s="24">
        <v>0.8262</v>
      </c>
      <c r="I15" s="25">
        <v>821.0</v>
      </c>
      <c r="J15" s="29">
        <f t="shared" si="1"/>
        <v>-0.0367</v>
      </c>
    </row>
    <row r="16">
      <c r="A16" s="17" t="s">
        <v>400</v>
      </c>
      <c r="B16" s="20">
        <v>522132.0</v>
      </c>
      <c r="C16" s="17" t="s">
        <v>409</v>
      </c>
      <c r="D16" s="24">
        <v>0.8125</v>
      </c>
      <c r="E16" s="25">
        <v>11.0</v>
      </c>
      <c r="F16" s="20">
        <v>38751.0</v>
      </c>
      <c r="G16" s="17" t="s">
        <v>435</v>
      </c>
      <c r="H16" s="24">
        <v>0.9434</v>
      </c>
      <c r="I16" s="25">
        <v>1280.0</v>
      </c>
      <c r="J16" s="29">
        <f t="shared" si="1"/>
        <v>-0.1309</v>
      </c>
    </row>
    <row r="17">
      <c r="A17" s="17" t="s">
        <v>451</v>
      </c>
      <c r="B17" s="20">
        <v>522114.0</v>
      </c>
      <c r="C17" s="17" t="s">
        <v>457</v>
      </c>
      <c r="D17" s="24">
        <v>0.8177</v>
      </c>
      <c r="E17" s="25">
        <v>147.0</v>
      </c>
      <c r="F17" s="20">
        <v>127579.0</v>
      </c>
      <c r="G17" s="17" t="s">
        <v>469</v>
      </c>
      <c r="H17" s="24">
        <v>0.8519</v>
      </c>
      <c r="I17" s="25">
        <v>514.0</v>
      </c>
      <c r="J17" s="29">
        <f t="shared" si="1"/>
        <v>-0.0342</v>
      </c>
    </row>
    <row r="18">
      <c r="A18" s="17" t="s">
        <v>479</v>
      </c>
      <c r="B18" s="20">
        <v>521860.0</v>
      </c>
      <c r="C18" s="17" t="s">
        <v>486</v>
      </c>
      <c r="D18" s="24">
        <v>0.8182</v>
      </c>
      <c r="E18" s="25">
        <v>3.0</v>
      </c>
      <c r="F18" s="20">
        <v>464735.0</v>
      </c>
      <c r="G18" s="17" t="s">
        <v>479</v>
      </c>
      <c r="H18" s="24">
        <v>0.932</v>
      </c>
      <c r="I18" s="25">
        <v>1159.0</v>
      </c>
      <c r="J18" s="29">
        <f t="shared" si="1"/>
        <v>-0.1138</v>
      </c>
    </row>
    <row r="19">
      <c r="A19" s="17" t="s">
        <v>506</v>
      </c>
      <c r="B19" s="20">
        <v>522135.0</v>
      </c>
      <c r="C19" s="17" t="s">
        <v>513</v>
      </c>
      <c r="D19" s="24">
        <v>0.82</v>
      </c>
      <c r="E19" s="25">
        <v>36.0</v>
      </c>
      <c r="F19" s="20">
        <v>38750.0</v>
      </c>
      <c r="G19" s="17" t="s">
        <v>506</v>
      </c>
      <c r="H19" s="24">
        <v>0.8949</v>
      </c>
      <c r="I19" s="25">
        <v>243.0</v>
      </c>
      <c r="J19" s="29">
        <f t="shared" si="1"/>
        <v>-0.0749</v>
      </c>
    </row>
    <row r="20">
      <c r="A20" s="17" t="s">
        <v>537</v>
      </c>
      <c r="B20" s="20">
        <v>522130.0</v>
      </c>
      <c r="C20" s="17" t="s">
        <v>541</v>
      </c>
      <c r="D20" s="24">
        <v>0.8333</v>
      </c>
      <c r="E20" s="25">
        <v>7.0</v>
      </c>
      <c r="F20" s="20">
        <v>131766.0</v>
      </c>
      <c r="G20" s="17" t="s">
        <v>537</v>
      </c>
      <c r="H20" s="24">
        <v>0.8665</v>
      </c>
      <c r="I20" s="25">
        <v>701.0</v>
      </c>
      <c r="J20" s="29">
        <f t="shared" si="1"/>
        <v>-0.0332</v>
      </c>
    </row>
    <row r="21">
      <c r="A21" s="17" t="s">
        <v>155</v>
      </c>
      <c r="B21" s="20">
        <v>522142.0</v>
      </c>
      <c r="C21" s="17" t="s">
        <v>573</v>
      </c>
      <c r="D21" s="24">
        <v>0.845</v>
      </c>
      <c r="E21" s="25">
        <v>156.0</v>
      </c>
      <c r="F21" s="20">
        <v>484231.0</v>
      </c>
      <c r="G21" s="17" t="s">
        <v>155</v>
      </c>
      <c r="H21" s="24">
        <v>0.8469</v>
      </c>
      <c r="I21" s="25">
        <v>996.0</v>
      </c>
      <c r="J21" s="29">
        <f t="shared" si="1"/>
        <v>-0.0019</v>
      </c>
    </row>
    <row r="22">
      <c r="A22" s="17" t="s">
        <v>601</v>
      </c>
      <c r="B22" s="20">
        <v>522550.0</v>
      </c>
      <c r="C22" s="17" t="s">
        <v>608</v>
      </c>
      <c r="D22" s="24">
        <v>0.8506</v>
      </c>
      <c r="E22" s="25">
        <v>236.0</v>
      </c>
      <c r="F22" s="20">
        <v>146907.0</v>
      </c>
      <c r="G22" s="17" t="s">
        <v>616</v>
      </c>
      <c r="H22" s="24">
        <v>0.8531</v>
      </c>
      <c r="I22" s="25">
        <v>431.0</v>
      </c>
      <c r="J22" s="29">
        <f t="shared" si="1"/>
        <v>-0.0025</v>
      </c>
    </row>
    <row r="23">
      <c r="A23" s="17" t="s">
        <v>629</v>
      </c>
      <c r="B23" s="20">
        <v>522169.0</v>
      </c>
      <c r="C23" s="17" t="s">
        <v>636</v>
      </c>
      <c r="D23" s="24">
        <v>0.8519</v>
      </c>
      <c r="E23" s="25">
        <v>20.0</v>
      </c>
      <c r="F23" s="20">
        <v>514507.0</v>
      </c>
      <c r="G23" s="17" t="s">
        <v>629</v>
      </c>
      <c r="H23" s="24">
        <v>0.8817</v>
      </c>
      <c r="I23" s="25">
        <v>740.0</v>
      </c>
      <c r="J23" s="29">
        <f t="shared" si="1"/>
        <v>-0.0298</v>
      </c>
    </row>
    <row r="24">
      <c r="A24" s="17" t="s">
        <v>658</v>
      </c>
      <c r="B24" s="20">
        <v>522095.0</v>
      </c>
      <c r="C24" s="17" t="s">
        <v>665</v>
      </c>
      <c r="D24" s="24">
        <v>0.8571</v>
      </c>
      <c r="E24" s="25">
        <v>6.0</v>
      </c>
      <c r="F24" s="20">
        <v>38753.0</v>
      </c>
      <c r="G24" s="17" t="s">
        <v>658</v>
      </c>
      <c r="H24" s="24">
        <v>0.9162</v>
      </c>
      <c r="I24" s="25">
        <v>1201.0</v>
      </c>
      <c r="J24" s="29">
        <f t="shared" si="1"/>
        <v>-0.0591</v>
      </c>
    </row>
    <row r="25">
      <c r="A25" s="17" t="s">
        <v>688</v>
      </c>
      <c r="B25" s="20">
        <v>569406.0</v>
      </c>
      <c r="C25" s="17" t="s">
        <v>689</v>
      </c>
      <c r="D25" s="24">
        <v>0.8571</v>
      </c>
      <c r="E25" s="25">
        <v>5.0</v>
      </c>
      <c r="F25" s="20">
        <v>547665.0</v>
      </c>
      <c r="G25" s="17" t="s">
        <v>688</v>
      </c>
      <c r="H25" s="24">
        <v>0.8955</v>
      </c>
      <c r="I25" s="25">
        <v>826.0</v>
      </c>
      <c r="J25" s="29">
        <f t="shared" si="1"/>
        <v>-0.0384</v>
      </c>
    </row>
    <row r="26">
      <c r="A26" s="17" t="s">
        <v>715</v>
      </c>
      <c r="B26" s="20">
        <v>522126.0</v>
      </c>
      <c r="C26" s="17" t="s">
        <v>723</v>
      </c>
      <c r="D26" s="24">
        <v>0.8571</v>
      </c>
      <c r="E26" s="25">
        <v>1.0</v>
      </c>
      <c r="F26" s="20">
        <v>397571.0</v>
      </c>
      <c r="G26" s="17" t="s">
        <v>715</v>
      </c>
      <c r="H26" s="24">
        <v>0.9473</v>
      </c>
      <c r="I26" s="25">
        <v>807.0</v>
      </c>
      <c r="J26" s="29">
        <f t="shared" si="1"/>
        <v>-0.0902</v>
      </c>
    </row>
    <row r="27">
      <c r="A27" s="17" t="s">
        <v>761</v>
      </c>
      <c r="B27" s="20">
        <v>522129.0</v>
      </c>
      <c r="C27" s="17" t="s">
        <v>769</v>
      </c>
      <c r="D27" s="24">
        <v>0.8589</v>
      </c>
      <c r="E27" s="25">
        <v>177.0</v>
      </c>
      <c r="F27" s="20">
        <v>308071.0</v>
      </c>
      <c r="G27" s="17" t="s">
        <v>733</v>
      </c>
      <c r="H27" s="24">
        <v>0.889</v>
      </c>
      <c r="I27" s="25">
        <v>1393.0</v>
      </c>
      <c r="J27" s="29">
        <f t="shared" si="1"/>
        <v>-0.0301</v>
      </c>
    </row>
    <row r="28">
      <c r="A28" s="17" t="s">
        <v>809</v>
      </c>
      <c r="B28" s="20">
        <v>593663.0</v>
      </c>
      <c r="C28" s="17" t="s">
        <v>818</v>
      </c>
      <c r="D28" s="24">
        <v>0.8608</v>
      </c>
      <c r="E28" s="25">
        <v>143.0</v>
      </c>
      <c r="F28" s="20">
        <v>587167.0</v>
      </c>
      <c r="G28" s="17" t="s">
        <v>809</v>
      </c>
      <c r="H28" s="24">
        <v>0.9312</v>
      </c>
      <c r="I28" s="25">
        <v>706.0</v>
      </c>
      <c r="J28" s="29">
        <f t="shared" si="1"/>
        <v>-0.0704</v>
      </c>
    </row>
    <row r="29">
      <c r="A29" s="17" t="s">
        <v>858</v>
      </c>
      <c r="B29" s="20">
        <v>522173.0</v>
      </c>
      <c r="C29" s="17" t="s">
        <v>867</v>
      </c>
      <c r="D29" s="24">
        <v>0.8657</v>
      </c>
      <c r="E29" s="25">
        <v>150.0</v>
      </c>
      <c r="F29" s="20">
        <v>201203.0</v>
      </c>
      <c r="G29" s="17" t="s">
        <v>886</v>
      </c>
      <c r="H29" s="24">
        <v>0.8933</v>
      </c>
      <c r="I29" s="25">
        <v>513.0</v>
      </c>
      <c r="J29" s="29">
        <f t="shared" si="1"/>
        <v>-0.0276</v>
      </c>
    </row>
    <row r="30">
      <c r="A30" s="17" t="s">
        <v>137</v>
      </c>
      <c r="B30" s="20">
        <v>522175.0</v>
      </c>
      <c r="C30" s="17" t="s">
        <v>920</v>
      </c>
      <c r="D30" s="24">
        <v>0.8665</v>
      </c>
      <c r="E30" s="25">
        <v>268.0</v>
      </c>
      <c r="F30" s="20">
        <v>311955.0</v>
      </c>
      <c r="G30" s="17" t="s">
        <v>137</v>
      </c>
      <c r="H30" s="24">
        <v>0.924</v>
      </c>
      <c r="I30" s="25">
        <v>1592.0</v>
      </c>
      <c r="J30" s="29">
        <f t="shared" si="1"/>
        <v>-0.0575</v>
      </c>
    </row>
    <row r="31">
      <c r="A31" s="17" t="s">
        <v>961</v>
      </c>
      <c r="B31" s="20">
        <v>522151.0</v>
      </c>
      <c r="C31" s="17" t="s">
        <v>974</v>
      </c>
      <c r="D31" s="24">
        <v>0.875</v>
      </c>
      <c r="E31" s="25">
        <v>3.0</v>
      </c>
      <c r="F31" s="20">
        <v>507464.0</v>
      </c>
      <c r="G31" s="17" t="s">
        <v>961</v>
      </c>
      <c r="H31" s="24">
        <v>0.9528</v>
      </c>
      <c r="I31" s="25">
        <v>430.0</v>
      </c>
      <c r="J31" s="29">
        <f t="shared" si="1"/>
        <v>-0.0778</v>
      </c>
    </row>
    <row r="32">
      <c r="A32" s="17" t="s">
        <v>999</v>
      </c>
      <c r="B32" s="20">
        <v>521862.0</v>
      </c>
      <c r="C32" s="17" t="s">
        <v>1004</v>
      </c>
      <c r="D32" s="24">
        <v>0.8802</v>
      </c>
      <c r="E32" s="25">
        <v>142.0</v>
      </c>
      <c r="F32" s="20">
        <v>135152.0</v>
      </c>
      <c r="G32" s="17" t="s">
        <v>1014</v>
      </c>
      <c r="H32" s="24">
        <v>0.9042</v>
      </c>
      <c r="I32" s="25">
        <v>646.0</v>
      </c>
      <c r="J32" s="29">
        <f t="shared" si="1"/>
        <v>-0.024</v>
      </c>
    </row>
    <row r="33">
      <c r="A33" s="17" t="s">
        <v>1027</v>
      </c>
      <c r="B33" s="20">
        <v>522195.0</v>
      </c>
      <c r="C33" s="17" t="s">
        <v>1034</v>
      </c>
      <c r="D33" s="24">
        <v>0.8824</v>
      </c>
      <c r="E33" s="25">
        <v>8.0</v>
      </c>
      <c r="F33" s="20">
        <v>42452.0</v>
      </c>
      <c r="G33" s="17" t="s">
        <v>1045</v>
      </c>
      <c r="H33" s="24">
        <v>0.7806</v>
      </c>
      <c r="I33" s="25">
        <v>949.0</v>
      </c>
      <c r="J33" s="29">
        <f t="shared" si="1"/>
        <v>0.1018</v>
      </c>
    </row>
    <row r="34">
      <c r="A34" s="17" t="s">
        <v>1062</v>
      </c>
      <c r="B34" s="20">
        <v>522119.0</v>
      </c>
      <c r="C34" s="17" t="s">
        <v>1067</v>
      </c>
      <c r="D34" s="24">
        <v>0.8846</v>
      </c>
      <c r="E34" s="25">
        <v>253.0</v>
      </c>
      <c r="F34" s="20">
        <v>480293.0</v>
      </c>
      <c r="G34" s="17" t="s">
        <v>1062</v>
      </c>
      <c r="H34" s="24">
        <v>0.8664</v>
      </c>
      <c r="I34" s="25">
        <v>618.0</v>
      </c>
      <c r="J34" s="29">
        <f t="shared" si="1"/>
        <v>0.0182</v>
      </c>
    </row>
    <row r="35">
      <c r="A35" s="17" t="s">
        <v>635</v>
      </c>
      <c r="B35" s="20">
        <v>571901.0</v>
      </c>
      <c r="C35" s="17" t="s">
        <v>1094</v>
      </c>
      <c r="D35" s="24">
        <v>0.8857</v>
      </c>
      <c r="E35" s="25">
        <v>286.0</v>
      </c>
      <c r="F35" s="20">
        <v>140568.0</v>
      </c>
      <c r="G35" s="17" t="s">
        <v>635</v>
      </c>
      <c r="H35" s="24">
        <v>0.9249</v>
      </c>
      <c r="I35" s="25">
        <v>1475.0</v>
      </c>
      <c r="J35" s="29">
        <f t="shared" si="1"/>
        <v>-0.0392</v>
      </c>
    </row>
    <row r="36">
      <c r="A36" s="17" t="s">
        <v>1117</v>
      </c>
      <c r="B36" s="20">
        <v>522200.0</v>
      </c>
      <c r="C36" s="17" t="s">
        <v>1121</v>
      </c>
      <c r="D36" s="24">
        <v>0.8889</v>
      </c>
      <c r="E36" s="25">
        <v>5.0</v>
      </c>
      <c r="F36" s="20">
        <v>125264.0</v>
      </c>
      <c r="G36" s="17" t="s">
        <v>1117</v>
      </c>
      <c r="H36" s="24">
        <v>0.8921</v>
      </c>
      <c r="I36" s="25">
        <v>363.0</v>
      </c>
      <c r="J36" s="29">
        <f t="shared" si="1"/>
        <v>-0.0032</v>
      </c>
    </row>
    <row r="37">
      <c r="A37" s="17" t="s">
        <v>1145</v>
      </c>
      <c r="B37" s="20">
        <v>563239.0</v>
      </c>
      <c r="C37" s="17" t="s">
        <v>1150</v>
      </c>
      <c r="D37" s="24">
        <v>0.8892</v>
      </c>
      <c r="E37" s="25">
        <v>262.0</v>
      </c>
      <c r="F37" s="20">
        <v>533131.0</v>
      </c>
      <c r="G37" s="17" t="s">
        <v>430</v>
      </c>
      <c r="H37" s="24">
        <v>0.9316</v>
      </c>
      <c r="I37" s="25">
        <v>1260.0</v>
      </c>
      <c r="J37" s="29">
        <f t="shared" si="1"/>
        <v>-0.0424</v>
      </c>
    </row>
    <row r="38">
      <c r="A38" s="17" t="s">
        <v>307</v>
      </c>
      <c r="B38" s="20">
        <v>522145.0</v>
      </c>
      <c r="C38" s="17" t="s">
        <v>1191</v>
      </c>
      <c r="D38" s="24">
        <v>0.8944</v>
      </c>
      <c r="E38" s="25">
        <v>592.0</v>
      </c>
      <c r="F38" s="20">
        <v>161827.0</v>
      </c>
      <c r="G38" s="17" t="s">
        <v>307</v>
      </c>
      <c r="H38" s="24">
        <v>0.9137</v>
      </c>
      <c r="I38" s="25">
        <v>1946.0</v>
      </c>
      <c r="J38" s="29">
        <f t="shared" si="1"/>
        <v>-0.0193</v>
      </c>
    </row>
    <row r="39">
      <c r="A39" s="17" t="s">
        <v>1221</v>
      </c>
      <c r="B39" s="20">
        <v>522154.0</v>
      </c>
      <c r="C39" s="17" t="s">
        <v>1228</v>
      </c>
      <c r="D39" s="24">
        <v>0.8962</v>
      </c>
      <c r="E39" s="25">
        <v>163.0</v>
      </c>
      <c r="F39" s="20">
        <v>464915.0</v>
      </c>
      <c r="G39" s="17" t="s">
        <v>1221</v>
      </c>
      <c r="H39" s="24">
        <v>0.9124</v>
      </c>
      <c r="I39" s="25">
        <v>883.0</v>
      </c>
      <c r="J39" s="29">
        <f t="shared" si="1"/>
        <v>-0.0162</v>
      </c>
    </row>
    <row r="40">
      <c r="A40" s="17" t="s">
        <v>774</v>
      </c>
      <c r="B40" s="20">
        <v>593640.0</v>
      </c>
      <c r="C40" s="17" t="s">
        <v>1278</v>
      </c>
      <c r="D40" s="24">
        <v>0.8962</v>
      </c>
      <c r="E40" s="25">
        <v>136.0</v>
      </c>
      <c r="F40" s="20">
        <v>587166.0</v>
      </c>
      <c r="G40" s="17" t="s">
        <v>774</v>
      </c>
      <c r="H40" s="24">
        <v>0.8971</v>
      </c>
      <c r="I40" s="25">
        <v>882.0</v>
      </c>
      <c r="J40" s="29">
        <f t="shared" si="1"/>
        <v>-0.0009</v>
      </c>
    </row>
    <row r="41">
      <c r="A41" s="17" t="s">
        <v>515</v>
      </c>
      <c r="B41" s="20">
        <v>522188.0</v>
      </c>
      <c r="C41" s="17" t="s">
        <v>1325</v>
      </c>
      <c r="D41" s="24">
        <v>0.903</v>
      </c>
      <c r="E41" s="25">
        <v>143.0</v>
      </c>
      <c r="F41" s="20">
        <v>130023.0</v>
      </c>
      <c r="G41" s="17" t="s">
        <v>515</v>
      </c>
      <c r="H41" s="24">
        <v>0.9377</v>
      </c>
      <c r="I41" s="25">
        <v>713.0</v>
      </c>
      <c r="J41" s="29">
        <f t="shared" si="1"/>
        <v>-0.0347</v>
      </c>
    </row>
    <row r="42">
      <c r="A42" s="17" t="s">
        <v>1355</v>
      </c>
      <c r="B42" s="20">
        <v>522187.0</v>
      </c>
      <c r="C42" s="17" t="s">
        <v>1358</v>
      </c>
      <c r="D42" s="24">
        <v>0.905</v>
      </c>
      <c r="E42" s="25">
        <v>281.0</v>
      </c>
      <c r="F42" s="20">
        <v>308149.0</v>
      </c>
      <c r="G42" s="17" t="s">
        <v>1355</v>
      </c>
      <c r="H42" s="24">
        <v>0.9277</v>
      </c>
      <c r="I42" s="25">
        <v>766.0</v>
      </c>
      <c r="J42" s="29">
        <f t="shared" si="1"/>
        <v>-0.0227</v>
      </c>
    </row>
    <row r="43">
      <c r="A43" s="17" t="s">
        <v>386</v>
      </c>
      <c r="B43" s="20">
        <v>569907.0</v>
      </c>
      <c r="C43" s="17" t="s">
        <v>1381</v>
      </c>
      <c r="D43" s="24">
        <v>0.9063</v>
      </c>
      <c r="E43" s="25">
        <v>128.0</v>
      </c>
      <c r="F43" s="20">
        <v>521112.0</v>
      </c>
      <c r="G43" s="17" t="s">
        <v>386</v>
      </c>
      <c r="H43" s="24">
        <v>0.9587</v>
      </c>
      <c r="I43" s="25">
        <v>661.0</v>
      </c>
      <c r="J43" s="29">
        <f t="shared" si="1"/>
        <v>-0.0524</v>
      </c>
    </row>
    <row r="44">
      <c r="A44" s="17" t="s">
        <v>1397</v>
      </c>
      <c r="B44" s="20">
        <v>522141.0</v>
      </c>
      <c r="C44" s="17" t="s">
        <v>1401</v>
      </c>
      <c r="D44" s="24">
        <v>0.9065</v>
      </c>
      <c r="E44" s="25">
        <v>299.0</v>
      </c>
      <c r="F44" s="20">
        <v>356323.0</v>
      </c>
      <c r="G44" s="17" t="s">
        <v>1397</v>
      </c>
      <c r="H44" s="24">
        <v>0.9389</v>
      </c>
      <c r="I44" s="25">
        <v>728.0</v>
      </c>
      <c r="J44" s="29">
        <f t="shared" si="1"/>
        <v>-0.0324</v>
      </c>
    </row>
    <row r="45">
      <c r="A45" s="17" t="s">
        <v>1416</v>
      </c>
      <c r="B45" s="20">
        <v>522131.0</v>
      </c>
      <c r="C45" s="17" t="s">
        <v>1421</v>
      </c>
      <c r="D45" s="24">
        <v>0.9074</v>
      </c>
      <c r="E45" s="25">
        <v>142.0</v>
      </c>
      <c r="F45" s="20">
        <v>390609.0</v>
      </c>
      <c r="G45" s="17" t="s">
        <v>1427</v>
      </c>
      <c r="H45" s="24">
        <v>0.977</v>
      </c>
      <c r="I45" s="25">
        <v>616.0</v>
      </c>
      <c r="J45" s="29">
        <f t="shared" si="1"/>
        <v>-0.0696</v>
      </c>
    </row>
    <row r="46">
      <c r="A46" s="17" t="s">
        <v>1436</v>
      </c>
      <c r="B46" s="20">
        <v>522096.0</v>
      </c>
      <c r="C46" s="17" t="s">
        <v>1441</v>
      </c>
      <c r="D46" s="24">
        <v>0.9103</v>
      </c>
      <c r="E46" s="25">
        <v>188.0</v>
      </c>
      <c r="F46" s="20">
        <v>148499.0</v>
      </c>
      <c r="G46" s="17" t="s">
        <v>1436</v>
      </c>
      <c r="H46" s="24">
        <v>0.9178</v>
      </c>
      <c r="I46" s="25">
        <v>848.0</v>
      </c>
      <c r="J46" s="29">
        <f t="shared" si="1"/>
        <v>-0.0075</v>
      </c>
    </row>
    <row r="47">
      <c r="A47" s="17" t="s">
        <v>1458</v>
      </c>
      <c r="B47" s="20">
        <v>522144.0</v>
      </c>
      <c r="C47" s="17" t="s">
        <v>1462</v>
      </c>
      <c r="D47" s="24">
        <v>0.9117</v>
      </c>
      <c r="E47" s="25">
        <v>302.0</v>
      </c>
      <c r="F47" s="20">
        <v>299049.0</v>
      </c>
      <c r="G47" s="17" t="s">
        <v>1469</v>
      </c>
      <c r="H47" s="24">
        <v>0.9352</v>
      </c>
      <c r="I47" s="25">
        <v>2474.0</v>
      </c>
      <c r="J47" s="29">
        <f t="shared" si="1"/>
        <v>-0.0235</v>
      </c>
    </row>
    <row r="48">
      <c r="A48" s="17" t="s">
        <v>1479</v>
      </c>
      <c r="B48" s="20">
        <v>522101.0</v>
      </c>
      <c r="C48" s="17" t="s">
        <v>1483</v>
      </c>
      <c r="D48" s="24">
        <v>0.913</v>
      </c>
      <c r="E48" s="25">
        <v>7.0</v>
      </c>
      <c r="F48" s="20">
        <v>449787.0</v>
      </c>
      <c r="G48" s="17" t="s">
        <v>325</v>
      </c>
      <c r="H48" s="24">
        <v>0.9373</v>
      </c>
      <c r="I48" s="25">
        <v>560.0</v>
      </c>
      <c r="J48" s="29">
        <f t="shared" si="1"/>
        <v>-0.0243</v>
      </c>
    </row>
    <row r="49">
      <c r="A49" s="17" t="s">
        <v>175</v>
      </c>
      <c r="B49" s="20">
        <v>521864.0</v>
      </c>
      <c r="C49" s="17" t="s">
        <v>1503</v>
      </c>
      <c r="D49" s="24">
        <v>0.914</v>
      </c>
      <c r="E49" s="25">
        <v>73.0</v>
      </c>
      <c r="F49" s="20">
        <v>202154.0</v>
      </c>
      <c r="G49" s="17" t="s">
        <v>175</v>
      </c>
      <c r="H49" s="24">
        <v>0.9271</v>
      </c>
      <c r="I49" s="25">
        <v>936.0</v>
      </c>
      <c r="J49" s="29">
        <f t="shared" si="1"/>
        <v>-0.0131</v>
      </c>
    </row>
    <row r="50">
      <c r="A50" s="17" t="s">
        <v>1520</v>
      </c>
      <c r="B50" s="20">
        <v>521858.0</v>
      </c>
      <c r="C50" s="17" t="s">
        <v>1525</v>
      </c>
      <c r="D50" s="24">
        <v>0.9145</v>
      </c>
      <c r="E50" s="25">
        <v>101.0</v>
      </c>
      <c r="F50" s="20">
        <v>271712.0</v>
      </c>
      <c r="G50" s="17" t="s">
        <v>1532</v>
      </c>
      <c r="H50" s="24">
        <v>0.9658</v>
      </c>
      <c r="I50" s="25">
        <v>807.0</v>
      </c>
      <c r="J50" s="29">
        <f t="shared" si="1"/>
        <v>-0.0513</v>
      </c>
    </row>
    <row r="51">
      <c r="A51" s="17" t="s">
        <v>971</v>
      </c>
      <c r="B51" s="20">
        <v>522159.0</v>
      </c>
      <c r="C51" s="17" t="s">
        <v>1555</v>
      </c>
      <c r="D51" s="24">
        <v>0.9234</v>
      </c>
      <c r="E51" s="25">
        <v>165.0</v>
      </c>
      <c r="F51" s="20">
        <v>133550.0</v>
      </c>
      <c r="G51" s="17" t="s">
        <v>971</v>
      </c>
      <c r="H51" s="24">
        <v>0.922</v>
      </c>
      <c r="I51" s="25">
        <v>786.0</v>
      </c>
      <c r="J51" s="29">
        <f t="shared" si="1"/>
        <v>0.0014</v>
      </c>
    </row>
    <row r="52">
      <c r="A52" s="17" t="s">
        <v>1456</v>
      </c>
      <c r="B52" s="20">
        <v>522192.0</v>
      </c>
      <c r="C52" s="17" t="s">
        <v>1604</v>
      </c>
      <c r="D52" s="24">
        <v>0.9243</v>
      </c>
      <c r="E52" s="25">
        <v>297.0</v>
      </c>
      <c r="F52" s="20">
        <v>491805.0</v>
      </c>
      <c r="G52" s="17" t="s">
        <v>1456</v>
      </c>
      <c r="H52" s="24">
        <v>0.9494</v>
      </c>
      <c r="I52" s="25">
        <v>1759.0</v>
      </c>
      <c r="J52" s="29">
        <f t="shared" si="1"/>
        <v>-0.0251</v>
      </c>
    </row>
    <row r="53">
      <c r="A53" s="17" t="s">
        <v>758</v>
      </c>
      <c r="B53" s="20">
        <v>522158.0</v>
      </c>
      <c r="C53" s="17" t="s">
        <v>1634</v>
      </c>
      <c r="D53" s="24">
        <v>0.9271</v>
      </c>
      <c r="E53" s="25">
        <v>318.0</v>
      </c>
      <c r="F53" s="20">
        <v>318540.0</v>
      </c>
      <c r="G53" s="17" t="s">
        <v>758</v>
      </c>
      <c r="H53" s="24">
        <v>0.9063</v>
      </c>
      <c r="I53" s="25">
        <v>670.0</v>
      </c>
      <c r="J53" s="29">
        <f t="shared" si="1"/>
        <v>0.0208</v>
      </c>
    </row>
    <row r="54">
      <c r="A54" s="17" t="s">
        <v>1659</v>
      </c>
      <c r="B54" s="20">
        <v>522155.0</v>
      </c>
      <c r="C54" s="17" t="s">
        <v>1665</v>
      </c>
      <c r="D54" s="24">
        <v>0.9287</v>
      </c>
      <c r="E54" s="25">
        <v>343.0</v>
      </c>
      <c r="F54" s="20">
        <v>477308.0</v>
      </c>
      <c r="G54" s="17" t="s">
        <v>1678</v>
      </c>
      <c r="H54" s="24">
        <v>0.9029</v>
      </c>
      <c r="I54" s="25">
        <v>282.0</v>
      </c>
      <c r="J54" s="29">
        <f t="shared" si="1"/>
        <v>0.0258</v>
      </c>
    </row>
    <row r="55">
      <c r="A55" s="17" t="s">
        <v>1692</v>
      </c>
      <c r="B55" s="20">
        <v>594935.0</v>
      </c>
      <c r="C55" s="17" t="s">
        <v>1697</v>
      </c>
      <c r="D55" s="24">
        <v>0.9314</v>
      </c>
      <c r="E55" s="25">
        <v>159.0</v>
      </c>
      <c r="F55" s="20">
        <v>592224.0</v>
      </c>
      <c r="G55" s="17" t="s">
        <v>1692</v>
      </c>
      <c r="H55" s="24">
        <v>0.9667</v>
      </c>
      <c r="I55" s="25">
        <v>653.0</v>
      </c>
      <c r="J55" s="29">
        <f t="shared" si="1"/>
        <v>-0.0353</v>
      </c>
    </row>
    <row r="56">
      <c r="A56" s="17" t="s">
        <v>1723</v>
      </c>
      <c r="B56" s="20">
        <v>522108.0</v>
      </c>
      <c r="C56" s="17" t="s">
        <v>1731</v>
      </c>
      <c r="D56" s="24">
        <v>0.9365</v>
      </c>
      <c r="E56" s="25">
        <v>45.0</v>
      </c>
      <c r="F56" s="20">
        <v>376854.0</v>
      </c>
      <c r="G56" s="17" t="s">
        <v>1742</v>
      </c>
      <c r="H56" s="24">
        <v>0.9753</v>
      </c>
      <c r="I56" s="25">
        <v>270.0</v>
      </c>
      <c r="J56" s="29">
        <f t="shared" si="1"/>
        <v>-0.0388</v>
      </c>
    </row>
    <row r="57">
      <c r="A57" s="17" t="s">
        <v>709</v>
      </c>
      <c r="B57" s="20">
        <v>522176.0</v>
      </c>
      <c r="C57" s="17" t="s">
        <v>1761</v>
      </c>
      <c r="D57" s="24">
        <v>0.937</v>
      </c>
      <c r="E57" s="25">
        <v>350.0</v>
      </c>
      <c r="F57" s="20">
        <v>435681.0</v>
      </c>
      <c r="G57" s="17" t="s">
        <v>709</v>
      </c>
      <c r="H57" s="24">
        <v>0.918</v>
      </c>
      <c r="I57" s="25">
        <v>611.0</v>
      </c>
      <c r="J57" s="29">
        <f t="shared" si="1"/>
        <v>0.019</v>
      </c>
    </row>
    <row r="58">
      <c r="A58" s="17" t="s">
        <v>1785</v>
      </c>
      <c r="B58" s="20">
        <v>522127.0</v>
      </c>
      <c r="C58" s="17" t="s">
        <v>1792</v>
      </c>
      <c r="D58" s="24">
        <v>0.9391</v>
      </c>
      <c r="E58" s="25">
        <v>160.0</v>
      </c>
      <c r="F58" s="20">
        <v>140569.0</v>
      </c>
      <c r="G58" s="17" t="s">
        <v>1804</v>
      </c>
      <c r="H58" s="24">
        <v>0.9319</v>
      </c>
      <c r="I58" s="25">
        <v>874.0</v>
      </c>
      <c r="J58" s="29">
        <f t="shared" si="1"/>
        <v>0.0072</v>
      </c>
    </row>
    <row r="59">
      <c r="A59" s="17" t="s">
        <v>1263</v>
      </c>
      <c r="B59" s="20">
        <v>522152.0</v>
      </c>
      <c r="C59" s="17" t="s">
        <v>1822</v>
      </c>
      <c r="D59" s="24">
        <v>0.9441</v>
      </c>
      <c r="E59" s="25">
        <v>242.0</v>
      </c>
      <c r="F59" s="20">
        <v>435694.0</v>
      </c>
      <c r="G59" s="17" t="s">
        <v>1263</v>
      </c>
      <c r="H59" s="24">
        <v>0.939</v>
      </c>
      <c r="I59" s="25">
        <v>810.0</v>
      </c>
      <c r="J59" s="29">
        <f t="shared" si="1"/>
        <v>0.0051</v>
      </c>
    </row>
    <row r="60">
      <c r="A60" s="17" t="s">
        <v>1845</v>
      </c>
      <c r="B60" s="20">
        <v>522172.0</v>
      </c>
      <c r="C60" s="17" t="s">
        <v>1846</v>
      </c>
      <c r="D60" s="24">
        <v>0.9459</v>
      </c>
      <c r="E60" s="25">
        <v>157.0</v>
      </c>
      <c r="F60" s="20">
        <v>320346.0</v>
      </c>
      <c r="G60" s="17" t="s">
        <v>1845</v>
      </c>
      <c r="H60" s="24">
        <v>0.9507</v>
      </c>
      <c r="I60" s="25">
        <v>1571.0</v>
      </c>
      <c r="J60" s="29">
        <f t="shared" si="1"/>
        <v>-0.0048</v>
      </c>
    </row>
    <row r="61">
      <c r="A61" s="17" t="s">
        <v>1871</v>
      </c>
      <c r="B61" s="20">
        <v>521863.0</v>
      </c>
      <c r="C61" s="17" t="s">
        <v>1877</v>
      </c>
      <c r="D61" s="24">
        <v>0.9462</v>
      </c>
      <c r="E61" s="25">
        <v>318.0</v>
      </c>
      <c r="F61" s="20">
        <v>161876.0</v>
      </c>
      <c r="G61" s="17" t="s">
        <v>1238</v>
      </c>
      <c r="H61" s="24">
        <v>0.9478</v>
      </c>
      <c r="I61" s="25">
        <v>2070.0</v>
      </c>
      <c r="J61" s="29">
        <f t="shared" si="1"/>
        <v>-0.0016</v>
      </c>
    </row>
    <row r="62">
      <c r="A62" s="17" t="s">
        <v>1904</v>
      </c>
      <c r="B62" s="20">
        <v>522189.0</v>
      </c>
      <c r="C62" s="17" t="s">
        <v>1909</v>
      </c>
      <c r="D62" s="24">
        <v>0.947</v>
      </c>
      <c r="E62" s="25">
        <v>123.0</v>
      </c>
      <c r="F62" s="20">
        <v>497518.0</v>
      </c>
      <c r="G62" s="17" t="s">
        <v>1904</v>
      </c>
      <c r="H62" s="24">
        <v>0.953</v>
      </c>
      <c r="I62" s="25">
        <v>1439.0</v>
      </c>
      <c r="J62" s="29">
        <f t="shared" si="1"/>
        <v>-0.006</v>
      </c>
    </row>
    <row r="63">
      <c r="A63" s="17" t="s">
        <v>652</v>
      </c>
      <c r="B63" s="20">
        <v>522139.0</v>
      </c>
      <c r="C63" s="17" t="s">
        <v>1933</v>
      </c>
      <c r="D63" s="24">
        <v>0.9481</v>
      </c>
      <c r="E63" s="25">
        <v>104.0</v>
      </c>
      <c r="F63" s="20">
        <v>483549.0</v>
      </c>
      <c r="G63" s="17" t="s">
        <v>652</v>
      </c>
      <c r="H63" s="24">
        <v>0.9737</v>
      </c>
      <c r="I63" s="25">
        <v>940.0</v>
      </c>
      <c r="J63" s="29">
        <f t="shared" si="1"/>
        <v>-0.0256</v>
      </c>
    </row>
    <row r="64">
      <c r="A64" s="17" t="s">
        <v>1959</v>
      </c>
      <c r="B64" s="20">
        <v>522090.0</v>
      </c>
      <c r="C64" s="17" t="s">
        <v>1964</v>
      </c>
      <c r="D64" s="24">
        <v>0.9484</v>
      </c>
      <c r="E64" s="25">
        <v>121.0</v>
      </c>
      <c r="F64" s="20">
        <v>186512.0</v>
      </c>
      <c r="G64" s="17" t="s">
        <v>1977</v>
      </c>
      <c r="H64" s="24">
        <v>0.9524</v>
      </c>
      <c r="I64" s="25">
        <v>868.0</v>
      </c>
      <c r="J64" s="29">
        <f t="shared" si="1"/>
        <v>-0.004</v>
      </c>
    </row>
    <row r="65">
      <c r="A65" s="17" t="s">
        <v>1991</v>
      </c>
      <c r="B65" s="20">
        <v>522105.0</v>
      </c>
      <c r="C65" s="17" t="s">
        <v>1996</v>
      </c>
      <c r="D65" s="24">
        <v>0.95</v>
      </c>
      <c r="E65" s="25">
        <v>144.0</v>
      </c>
      <c r="F65" s="20">
        <v>308068.0</v>
      </c>
      <c r="G65" s="17" t="s">
        <v>2007</v>
      </c>
      <c r="H65" s="24">
        <v>0.9582</v>
      </c>
      <c r="I65" s="25">
        <v>752.0</v>
      </c>
      <c r="J65" s="29">
        <f t="shared" si="1"/>
        <v>-0.0082</v>
      </c>
    </row>
    <row r="66">
      <c r="A66" s="17" t="s">
        <v>1169</v>
      </c>
      <c r="B66" s="20">
        <v>563243.0</v>
      </c>
      <c r="C66" s="17" t="s">
        <v>2026</v>
      </c>
      <c r="D66" s="24">
        <v>0.9504</v>
      </c>
      <c r="E66" s="25">
        <v>314.0</v>
      </c>
      <c r="F66" s="20">
        <v>550738.0</v>
      </c>
      <c r="G66" s="17" t="s">
        <v>1169</v>
      </c>
      <c r="H66" s="24">
        <v>0.9385</v>
      </c>
      <c r="I66" s="25">
        <v>695.0</v>
      </c>
      <c r="J66" s="29">
        <f t="shared" si="1"/>
        <v>0.0119</v>
      </c>
    </row>
    <row r="67">
      <c r="A67" s="17" t="s">
        <v>74</v>
      </c>
      <c r="B67" s="20">
        <v>571816.0</v>
      </c>
      <c r="C67" s="17" t="s">
        <v>2055</v>
      </c>
      <c r="D67" s="24">
        <v>0.9505</v>
      </c>
      <c r="E67" s="25">
        <v>156.0</v>
      </c>
      <c r="F67" s="20">
        <v>559429.0</v>
      </c>
      <c r="G67" s="17" t="s">
        <v>74</v>
      </c>
      <c r="H67" s="24">
        <v>0.9661</v>
      </c>
      <c r="I67" s="25">
        <v>1017.0</v>
      </c>
      <c r="J67" s="29">
        <f t="shared" si="1"/>
        <v>-0.0156</v>
      </c>
    </row>
    <row r="68">
      <c r="A68" s="17" t="s">
        <v>2080</v>
      </c>
      <c r="B68" s="20">
        <v>522133.0</v>
      </c>
      <c r="C68" s="17" t="s">
        <v>2089</v>
      </c>
      <c r="D68" s="24">
        <v>0.9519</v>
      </c>
      <c r="E68" s="25">
        <v>237.0</v>
      </c>
      <c r="F68" s="20">
        <v>161822.0</v>
      </c>
      <c r="G68" s="17" t="s">
        <v>2080</v>
      </c>
      <c r="H68" s="24">
        <v>0.9489</v>
      </c>
      <c r="I68" s="25">
        <v>1209.0</v>
      </c>
      <c r="J68" s="29">
        <f t="shared" si="1"/>
        <v>0.003</v>
      </c>
    </row>
    <row r="69">
      <c r="A69" s="17" t="s">
        <v>2097</v>
      </c>
      <c r="B69" s="20">
        <v>522190.0</v>
      </c>
      <c r="C69" s="17" t="s">
        <v>2122</v>
      </c>
      <c r="D69" s="24">
        <v>0.9581</v>
      </c>
      <c r="E69" s="25">
        <v>196.0</v>
      </c>
      <c r="F69" s="20">
        <v>522486.0</v>
      </c>
      <c r="G69" s="17" t="s">
        <v>2097</v>
      </c>
      <c r="H69" s="24">
        <v>0.9635</v>
      </c>
      <c r="I69" s="25">
        <v>520.0</v>
      </c>
      <c r="J69" s="29">
        <f t="shared" si="1"/>
        <v>-0.0054</v>
      </c>
    </row>
    <row r="70">
      <c r="A70" s="17" t="s">
        <v>922</v>
      </c>
      <c r="B70" s="20">
        <v>522083.0</v>
      </c>
      <c r="C70" s="17" t="s">
        <v>2155</v>
      </c>
      <c r="D70" s="24">
        <v>0.9602</v>
      </c>
      <c r="E70" s="25">
        <v>165.0</v>
      </c>
      <c r="F70" s="20">
        <v>435687.0</v>
      </c>
      <c r="G70" s="17" t="s">
        <v>922</v>
      </c>
      <c r="H70" s="24">
        <v>0.9497</v>
      </c>
      <c r="I70" s="25">
        <v>1032.0</v>
      </c>
      <c r="J70" s="29">
        <f t="shared" si="1"/>
        <v>0.0105</v>
      </c>
    </row>
    <row r="71">
      <c r="A71" s="17" t="s">
        <v>2177</v>
      </c>
      <c r="B71" s="20">
        <v>522110.0</v>
      </c>
      <c r="C71" s="17" t="s">
        <v>2184</v>
      </c>
      <c r="D71" s="24">
        <v>0.9647</v>
      </c>
      <c r="E71" s="25">
        <v>151.0</v>
      </c>
      <c r="F71" s="20">
        <v>189409.0</v>
      </c>
      <c r="G71" s="17" t="s">
        <v>850</v>
      </c>
      <c r="H71" s="24">
        <v>0.9665</v>
      </c>
      <c r="I71" s="25">
        <v>246.0</v>
      </c>
      <c r="J71" s="29">
        <f t="shared" si="1"/>
        <v>-0.0018</v>
      </c>
    </row>
    <row r="72">
      <c r="A72" s="17" t="s">
        <v>483</v>
      </c>
      <c r="B72" s="20">
        <v>522167.0</v>
      </c>
      <c r="C72" s="17" t="s">
        <v>2214</v>
      </c>
      <c r="D72" s="24">
        <v>0.9651</v>
      </c>
      <c r="E72" s="25">
        <v>160.0</v>
      </c>
      <c r="F72" s="20">
        <v>484234.0</v>
      </c>
      <c r="G72" s="17" t="s">
        <v>483</v>
      </c>
      <c r="H72" s="24">
        <v>0.9666</v>
      </c>
      <c r="I72" s="25">
        <v>1084.0</v>
      </c>
      <c r="J72" s="29">
        <f t="shared" si="1"/>
        <v>-0.0015</v>
      </c>
    </row>
    <row r="73">
      <c r="A73" s="17" t="s">
        <v>2221</v>
      </c>
      <c r="B73" s="20">
        <v>522098.0</v>
      </c>
      <c r="C73" s="17" t="s">
        <v>2222</v>
      </c>
      <c r="D73" s="24">
        <v>0.9664</v>
      </c>
      <c r="E73" s="25">
        <v>222.0</v>
      </c>
      <c r="F73" s="20">
        <v>477236.0</v>
      </c>
      <c r="G73" s="17" t="s">
        <v>2221</v>
      </c>
      <c r="H73" s="24">
        <v>0.9879</v>
      </c>
      <c r="I73" s="25">
        <v>989.0</v>
      </c>
      <c r="J73" s="29">
        <f t="shared" si="1"/>
        <v>-0.0215</v>
      </c>
    </row>
    <row r="74">
      <c r="A74" s="17" t="s">
        <v>450</v>
      </c>
      <c r="B74" s="20">
        <v>522107.0</v>
      </c>
      <c r="C74" s="17" t="s">
        <v>2226</v>
      </c>
      <c r="D74" s="24">
        <v>0.9669</v>
      </c>
      <c r="E74" s="25">
        <v>169.0</v>
      </c>
      <c r="F74" s="20">
        <v>234339.0</v>
      </c>
      <c r="G74" s="17" t="s">
        <v>450</v>
      </c>
      <c r="H74" s="24">
        <v>0.9687</v>
      </c>
      <c r="I74" s="25">
        <v>1303.0</v>
      </c>
      <c r="J74" s="29">
        <f t="shared" si="1"/>
        <v>-0.0018</v>
      </c>
    </row>
    <row r="75">
      <c r="A75" s="17" t="s">
        <v>1717</v>
      </c>
      <c r="B75" s="20">
        <v>569765.0</v>
      </c>
      <c r="C75" s="17" t="s">
        <v>2230</v>
      </c>
      <c r="D75" s="24">
        <v>0.9689</v>
      </c>
      <c r="E75" s="25">
        <v>145.0</v>
      </c>
      <c r="F75" s="20">
        <v>532398.0</v>
      </c>
      <c r="G75" s="17" t="s">
        <v>1717</v>
      </c>
      <c r="H75" s="24">
        <v>0.9619</v>
      </c>
      <c r="I75" s="25">
        <v>787.0</v>
      </c>
      <c r="J75" s="29">
        <f t="shared" si="1"/>
        <v>0.007</v>
      </c>
    </row>
    <row r="76">
      <c r="A76" s="17" t="s">
        <v>563</v>
      </c>
      <c r="B76" s="20">
        <v>525960.0</v>
      </c>
      <c r="C76" s="17" t="s">
        <v>2235</v>
      </c>
      <c r="D76" s="24">
        <v>0.971</v>
      </c>
      <c r="E76" s="25">
        <v>369.0</v>
      </c>
      <c r="F76" s="20">
        <v>529845.0</v>
      </c>
      <c r="G76" s="17" t="s">
        <v>563</v>
      </c>
      <c r="H76" s="24">
        <v>0.972</v>
      </c>
      <c r="I76" s="25">
        <v>780.0</v>
      </c>
      <c r="J76" s="29">
        <f t="shared" si="1"/>
        <v>-0.001</v>
      </c>
    </row>
    <row r="77">
      <c r="A77" s="17" t="s">
        <v>266</v>
      </c>
      <c r="B77" s="20">
        <v>522134.0</v>
      </c>
      <c r="C77" s="17" t="s">
        <v>2241</v>
      </c>
      <c r="D77" s="24">
        <v>0.974</v>
      </c>
      <c r="E77" s="25">
        <v>234.0</v>
      </c>
      <c r="F77" s="20">
        <v>476402.0</v>
      </c>
      <c r="G77" s="17" t="s">
        <v>266</v>
      </c>
      <c r="H77" s="24">
        <v>0.9696</v>
      </c>
      <c r="I77" s="25">
        <v>890.0</v>
      </c>
      <c r="J77" s="29">
        <f t="shared" si="1"/>
        <v>0.0044</v>
      </c>
    </row>
    <row r="78">
      <c r="A78" s="17" t="s">
        <v>498</v>
      </c>
      <c r="B78" s="20">
        <v>522086.0</v>
      </c>
      <c r="C78" s="17" t="s">
        <v>2245</v>
      </c>
      <c r="D78" s="24">
        <v>0.9744</v>
      </c>
      <c r="E78" s="25">
        <v>219.0</v>
      </c>
      <c r="F78" s="20">
        <v>397573.0</v>
      </c>
      <c r="G78" s="17" t="s">
        <v>498</v>
      </c>
      <c r="H78" s="24">
        <v>0.9605</v>
      </c>
      <c r="I78" s="25">
        <v>1026.0</v>
      </c>
      <c r="J78" s="29">
        <f t="shared" si="1"/>
        <v>0.0139</v>
      </c>
    </row>
    <row r="79">
      <c r="A79" s="17" t="s">
        <v>2250</v>
      </c>
      <c r="B79" s="20">
        <v>525975.0</v>
      </c>
      <c r="C79" s="17" t="s">
        <v>2251</v>
      </c>
      <c r="D79" s="24">
        <v>0.9774</v>
      </c>
      <c r="E79" s="25">
        <v>160.0</v>
      </c>
      <c r="F79" s="20">
        <v>526862.0</v>
      </c>
      <c r="G79" s="17" t="s">
        <v>2250</v>
      </c>
      <c r="H79" s="24">
        <v>0.9695</v>
      </c>
      <c r="I79" s="25">
        <v>531.0</v>
      </c>
      <c r="J79" s="29">
        <f t="shared" si="1"/>
        <v>0.0079</v>
      </c>
    </row>
    <row r="80">
      <c r="A80" s="17" t="s">
        <v>2192</v>
      </c>
      <c r="B80" s="20">
        <v>522112.0</v>
      </c>
      <c r="C80" s="17" t="s">
        <v>2255</v>
      </c>
      <c r="D80" s="24">
        <v>0.9784</v>
      </c>
      <c r="E80" s="25">
        <v>129.0</v>
      </c>
      <c r="F80" s="20">
        <v>201582.0</v>
      </c>
      <c r="G80" s="17" t="s">
        <v>2192</v>
      </c>
      <c r="H80" s="24">
        <v>0.9836</v>
      </c>
      <c r="I80" s="25">
        <v>845.0</v>
      </c>
      <c r="J80" s="29">
        <f t="shared" si="1"/>
        <v>-0.0052</v>
      </c>
    </row>
    <row r="81">
      <c r="A81" s="17" t="s">
        <v>2259</v>
      </c>
      <c r="B81" s="20">
        <v>522082.0</v>
      </c>
      <c r="C81" s="17" t="s">
        <v>2261</v>
      </c>
      <c r="D81" s="24">
        <v>0.9799</v>
      </c>
      <c r="E81" s="25">
        <v>272.0</v>
      </c>
      <c r="F81" s="20">
        <v>515355.0</v>
      </c>
      <c r="G81" s="17" t="s">
        <v>1920</v>
      </c>
      <c r="H81" s="24">
        <v>0.9609</v>
      </c>
      <c r="I81" s="25">
        <v>843.0</v>
      </c>
      <c r="J81" s="29">
        <f t="shared" si="1"/>
        <v>0.019</v>
      </c>
    </row>
    <row r="82">
      <c r="A82" s="17" t="s">
        <v>2266</v>
      </c>
      <c r="B82" s="20">
        <v>522087.0</v>
      </c>
      <c r="C82" s="17" t="s">
        <v>2267</v>
      </c>
      <c r="D82" s="24">
        <v>0.9811</v>
      </c>
      <c r="E82" s="25">
        <v>215.0</v>
      </c>
      <c r="F82" s="20">
        <v>131802.0</v>
      </c>
      <c r="G82" s="17" t="s">
        <v>2269</v>
      </c>
      <c r="H82" s="24">
        <v>0.9575</v>
      </c>
      <c r="I82" s="25">
        <v>433.0</v>
      </c>
      <c r="J82" s="29">
        <f t="shared" si="1"/>
        <v>0.0236</v>
      </c>
    </row>
    <row r="83">
      <c r="A83" s="17" t="s">
        <v>1032</v>
      </c>
      <c r="B83" s="20">
        <v>575670.0</v>
      </c>
      <c r="C83" s="17" t="s">
        <v>2271</v>
      </c>
      <c r="D83" s="24">
        <v>0.9819</v>
      </c>
      <c r="E83" s="25">
        <v>202.0</v>
      </c>
      <c r="F83" s="20">
        <v>569044.0</v>
      </c>
      <c r="G83" s="17" t="s">
        <v>1032</v>
      </c>
      <c r="H83" s="24">
        <v>0.9728</v>
      </c>
      <c r="I83" s="25">
        <v>1806.0</v>
      </c>
      <c r="J83" s="29">
        <f t="shared" si="1"/>
        <v>0.0091</v>
      </c>
    </row>
    <row r="84">
      <c r="A84" s="17" t="s">
        <v>2277</v>
      </c>
      <c r="B84" s="20">
        <v>593651.0</v>
      </c>
      <c r="C84" s="17" t="s">
        <v>2279</v>
      </c>
      <c r="D84" s="24">
        <v>0.9873</v>
      </c>
      <c r="E84" s="25">
        <v>225.0</v>
      </c>
      <c r="F84" s="20">
        <v>587160.0</v>
      </c>
      <c r="G84" s="17" t="s">
        <v>2277</v>
      </c>
      <c r="H84" s="24">
        <v>0.997</v>
      </c>
      <c r="I84" s="25">
        <v>1297.0</v>
      </c>
      <c r="J84" s="29">
        <f t="shared" si="1"/>
        <v>-0.0097</v>
      </c>
    </row>
    <row r="85">
      <c r="A85" s="17" t="s">
        <v>530</v>
      </c>
      <c r="B85" s="20">
        <v>522140.0</v>
      </c>
      <c r="C85" s="17" t="s">
        <v>2282</v>
      </c>
      <c r="D85" s="24">
        <v>0.9901</v>
      </c>
      <c r="E85" s="25">
        <v>189.0</v>
      </c>
      <c r="F85" s="20">
        <v>449810.0</v>
      </c>
      <c r="G85" s="17" t="s">
        <v>530</v>
      </c>
      <c r="H85" s="24">
        <v>0.9832</v>
      </c>
      <c r="I85" s="25">
        <v>843.0</v>
      </c>
      <c r="J85" s="29">
        <f t="shared" si="1"/>
        <v>0.0069</v>
      </c>
    </row>
    <row r="86">
      <c r="A86" s="17" t="s">
        <v>1802</v>
      </c>
      <c r="B86" s="20">
        <v>569738.0</v>
      </c>
      <c r="C86" s="17" t="s">
        <v>2289</v>
      </c>
      <c r="D86" s="24">
        <v>0.9961</v>
      </c>
      <c r="E86" s="25">
        <v>222.0</v>
      </c>
      <c r="F86" s="20">
        <v>547508.0</v>
      </c>
      <c r="G86" s="17" t="s">
        <v>1802</v>
      </c>
      <c r="H86" s="24">
        <v>0.9917</v>
      </c>
      <c r="I86" s="25">
        <v>1221.0</v>
      </c>
      <c r="J86" s="29">
        <f t="shared" si="1"/>
        <v>0.0044</v>
      </c>
    </row>
    <row r="87">
      <c r="A87" s="17" t="s">
        <v>874</v>
      </c>
      <c r="B87" s="20">
        <v>522146.0</v>
      </c>
      <c r="C87" s="17" t="s">
        <v>2292</v>
      </c>
      <c r="D87" s="24">
        <v>1.0</v>
      </c>
      <c r="E87" s="25">
        <v>102.0</v>
      </c>
      <c r="F87" s="20">
        <v>243707.0</v>
      </c>
      <c r="G87" s="17" t="s">
        <v>874</v>
      </c>
      <c r="H87" s="24">
        <v>0.9908</v>
      </c>
      <c r="I87" s="25">
        <v>616.0</v>
      </c>
      <c r="J87" s="29">
        <f t="shared" si="1"/>
        <v>0.0092</v>
      </c>
    </row>
    <row r="88">
      <c r="A88" s="17" t="s">
        <v>581</v>
      </c>
      <c r="B88" s="20">
        <v>522157.0</v>
      </c>
      <c r="C88" s="17" t="s">
        <v>2297</v>
      </c>
      <c r="D88" s="24">
        <v>1.0</v>
      </c>
      <c r="E88" s="25">
        <v>27.0</v>
      </c>
      <c r="F88" s="20">
        <v>465572.0</v>
      </c>
      <c r="G88" s="17" t="s">
        <v>581</v>
      </c>
      <c r="H88" s="24">
        <v>0.9645</v>
      </c>
      <c r="I88" s="25">
        <v>476.0</v>
      </c>
      <c r="J88" s="29">
        <f t="shared" si="1"/>
        <v>0.0355</v>
      </c>
    </row>
    <row r="89">
      <c r="A89" s="17" t="s">
        <v>2300</v>
      </c>
      <c r="B89" s="20">
        <v>522109.0</v>
      </c>
      <c r="C89" s="17" t="s">
        <v>2301</v>
      </c>
      <c r="D89" s="24">
        <v>1.0</v>
      </c>
      <c r="E89" s="25">
        <v>18.0</v>
      </c>
      <c r="F89" s="20">
        <v>133450.0</v>
      </c>
      <c r="G89" s="17" t="s">
        <v>2300</v>
      </c>
      <c r="H89" s="24">
        <v>0.9714</v>
      </c>
      <c r="I89" s="25">
        <v>781.0</v>
      </c>
      <c r="J89" s="29">
        <f t="shared" si="1"/>
        <v>0.0286</v>
      </c>
    </row>
    <row r="90">
      <c r="A90" s="17" t="s">
        <v>2304</v>
      </c>
      <c r="B90" s="20">
        <v>522198.0</v>
      </c>
      <c r="C90" s="17" t="s">
        <v>2305</v>
      </c>
      <c r="D90" s="24">
        <v>1.0</v>
      </c>
      <c r="E90" s="25">
        <v>16.0</v>
      </c>
      <c r="F90" s="20">
        <v>127565.0</v>
      </c>
      <c r="G90" s="17" t="s">
        <v>1213</v>
      </c>
      <c r="H90" s="24">
        <v>0.9175</v>
      </c>
      <c r="I90" s="25">
        <v>810.0</v>
      </c>
      <c r="J90" s="29">
        <f t="shared" si="1"/>
        <v>0.0825</v>
      </c>
    </row>
    <row r="91">
      <c r="A91" s="17" t="s">
        <v>2291</v>
      </c>
      <c r="B91" s="20">
        <v>569962.0</v>
      </c>
      <c r="C91" s="17" t="s">
        <v>2308</v>
      </c>
      <c r="D91" s="24">
        <v>1.0</v>
      </c>
      <c r="E91" s="25">
        <v>9.0</v>
      </c>
      <c r="F91" s="20">
        <v>593582.0</v>
      </c>
      <c r="G91" s="17" t="s">
        <v>2291</v>
      </c>
      <c r="H91" s="24">
        <v>0.9263</v>
      </c>
      <c r="I91" s="25">
        <v>872.0</v>
      </c>
      <c r="J91" s="29">
        <f t="shared" si="1"/>
        <v>0.0737</v>
      </c>
    </row>
    <row r="92">
      <c r="A92" s="17" t="s">
        <v>2212</v>
      </c>
      <c r="B92" s="20">
        <v>522088.0</v>
      </c>
      <c r="C92" s="17" t="s">
        <v>2312</v>
      </c>
      <c r="D92" s="24">
        <v>1.0</v>
      </c>
      <c r="E92" s="25">
        <v>7.0</v>
      </c>
      <c r="F92" s="20">
        <v>290535.0</v>
      </c>
      <c r="G92" s="17" t="s">
        <v>2212</v>
      </c>
      <c r="H92" s="24">
        <v>0.9482</v>
      </c>
      <c r="I92" s="25">
        <v>752.0</v>
      </c>
      <c r="J92" s="29">
        <f t="shared" si="1"/>
        <v>0.0518</v>
      </c>
    </row>
    <row r="93">
      <c r="A93" s="17" t="s">
        <v>1872</v>
      </c>
      <c r="B93" s="20">
        <v>522111.0</v>
      </c>
      <c r="C93" s="17" t="s">
        <v>2315</v>
      </c>
      <c r="D93" s="24">
        <v>1.0</v>
      </c>
      <c r="E93" s="25">
        <v>6.0</v>
      </c>
      <c r="F93" s="20">
        <v>151214.0</v>
      </c>
      <c r="G93" s="17" t="s">
        <v>1872</v>
      </c>
      <c r="H93" s="24">
        <v>0.9021</v>
      </c>
      <c r="I93" s="25">
        <v>984.0</v>
      </c>
      <c r="J93" s="29">
        <f t="shared" si="1"/>
        <v>0.0979</v>
      </c>
    </row>
    <row r="94">
      <c r="A94" s="17" t="s">
        <v>2240</v>
      </c>
      <c r="B94" s="20">
        <v>522137.0</v>
      </c>
      <c r="C94" s="17" t="s">
        <v>2320</v>
      </c>
      <c r="D94" s="24">
        <v>1.0</v>
      </c>
      <c r="E94" s="25">
        <v>6.0</v>
      </c>
      <c r="F94" s="20">
        <v>484236.0</v>
      </c>
      <c r="G94" s="17" t="s">
        <v>2240</v>
      </c>
      <c r="H94" s="24">
        <v>0.93</v>
      </c>
      <c r="I94" s="25">
        <v>1701.0</v>
      </c>
      <c r="J94" s="29">
        <f t="shared" si="1"/>
        <v>0.07</v>
      </c>
    </row>
    <row r="95">
      <c r="A95" s="17" t="s">
        <v>946</v>
      </c>
      <c r="B95" s="20">
        <v>522193.0</v>
      </c>
      <c r="C95" s="17" t="s">
        <v>2324</v>
      </c>
      <c r="D95" s="24">
        <v>1.0</v>
      </c>
      <c r="E95" s="25">
        <v>6.0</v>
      </c>
      <c r="F95" s="20">
        <v>225789.0</v>
      </c>
      <c r="G95" s="17" t="s">
        <v>946</v>
      </c>
      <c r="H95" s="24">
        <v>0.9373</v>
      </c>
      <c r="I95" s="25">
        <v>1323.0</v>
      </c>
      <c r="J95" s="29">
        <f t="shared" si="1"/>
        <v>0.0627</v>
      </c>
    </row>
    <row r="96">
      <c r="A96" s="17" t="s">
        <v>2327</v>
      </c>
      <c r="B96" s="20">
        <v>521865.0</v>
      </c>
      <c r="C96" s="17" t="s">
        <v>2330</v>
      </c>
      <c r="D96" s="24">
        <v>1.0</v>
      </c>
      <c r="E96" s="25">
        <v>4.0</v>
      </c>
      <c r="F96" s="20">
        <v>299012.0</v>
      </c>
      <c r="G96" s="17" t="s">
        <v>1504</v>
      </c>
      <c r="H96" s="24">
        <v>0.8378</v>
      </c>
      <c r="I96" s="25">
        <v>617.0</v>
      </c>
      <c r="J96" s="29">
        <f t="shared" si="1"/>
        <v>0.1622</v>
      </c>
    </row>
    <row r="97">
      <c r="A97" s="17" t="s">
        <v>1833</v>
      </c>
      <c r="B97" s="20">
        <v>529527.0</v>
      </c>
      <c r="C97" s="17" t="s">
        <v>2333</v>
      </c>
      <c r="D97" s="24">
        <v>1.0</v>
      </c>
      <c r="E97" s="25">
        <v>4.0</v>
      </c>
      <c r="F97" s="20">
        <v>532632.0</v>
      </c>
      <c r="G97" s="17" t="s">
        <v>1833</v>
      </c>
      <c r="H97" s="24">
        <v>0.8961</v>
      </c>
      <c r="I97" s="25">
        <v>1232.0</v>
      </c>
      <c r="J97" s="29">
        <f t="shared" si="1"/>
        <v>0.1039</v>
      </c>
    </row>
    <row r="98">
      <c r="A98" s="17" t="s">
        <v>2336</v>
      </c>
      <c r="B98" s="20">
        <v>522153.0</v>
      </c>
      <c r="C98" s="17" t="s">
        <v>2337</v>
      </c>
      <c r="D98" s="24">
        <v>1.0</v>
      </c>
      <c r="E98" s="25">
        <v>3.0</v>
      </c>
      <c r="F98" s="20">
        <v>592065.0</v>
      </c>
      <c r="G98" s="17" t="s">
        <v>467</v>
      </c>
      <c r="H98" s="24">
        <v>0.9623</v>
      </c>
      <c r="I98" s="25">
        <v>1644.0</v>
      </c>
      <c r="J98" s="29">
        <f t="shared" si="1"/>
        <v>0.0377</v>
      </c>
    </row>
    <row r="99">
      <c r="A99" s="17" t="s">
        <v>2061</v>
      </c>
      <c r="B99" s="20">
        <v>522143.0</v>
      </c>
      <c r="C99" s="17" t="s">
        <v>2340</v>
      </c>
      <c r="D99" s="24">
        <v>1.0</v>
      </c>
      <c r="E99" s="25">
        <v>3.0</v>
      </c>
      <c r="F99" s="20">
        <v>396521.0</v>
      </c>
      <c r="G99" s="17" t="s">
        <v>2061</v>
      </c>
      <c r="H99" s="24">
        <v>0.8956</v>
      </c>
      <c r="I99" s="25">
        <v>1189.0</v>
      </c>
      <c r="J99" s="29">
        <f t="shared" si="1"/>
        <v>0.1044</v>
      </c>
    </row>
    <row r="100">
      <c r="A100" s="17" t="s">
        <v>993</v>
      </c>
      <c r="B100" s="20">
        <v>522123.0</v>
      </c>
      <c r="C100" s="17" t="s">
        <v>2342</v>
      </c>
      <c r="D100" s="24">
        <v>1.0</v>
      </c>
      <c r="E100" s="25">
        <v>3.0</v>
      </c>
      <c r="F100" s="20">
        <v>272684.0</v>
      </c>
      <c r="G100" s="17" t="s">
        <v>993</v>
      </c>
      <c r="H100" s="24">
        <v>0.9736</v>
      </c>
      <c r="I100" s="25">
        <v>606.0</v>
      </c>
      <c r="J100" s="29">
        <f t="shared" si="1"/>
        <v>0.0264</v>
      </c>
    </row>
    <row r="101">
      <c r="A101" s="17" t="s">
        <v>2322</v>
      </c>
      <c r="B101" s="20">
        <v>593655.0</v>
      </c>
      <c r="C101" s="17" t="s">
        <v>2344</v>
      </c>
      <c r="D101" s="24">
        <v>1.0</v>
      </c>
      <c r="E101" s="25">
        <v>2.0</v>
      </c>
      <c r="F101" s="20">
        <v>587388.0</v>
      </c>
      <c r="G101" s="17" t="s">
        <v>2322</v>
      </c>
      <c r="H101" s="24">
        <v>0.8496</v>
      </c>
      <c r="I101" s="25">
        <v>1405.0</v>
      </c>
      <c r="J101" s="29">
        <f t="shared" si="1"/>
        <v>0.1504</v>
      </c>
    </row>
    <row r="102">
      <c r="A102" s="17" t="s">
        <v>1849</v>
      </c>
      <c r="B102" s="20">
        <v>525959.0</v>
      </c>
      <c r="C102" s="17" t="s">
        <v>2347</v>
      </c>
      <c r="D102" s="24">
        <v>1.0</v>
      </c>
      <c r="E102" s="25">
        <v>2.0</v>
      </c>
      <c r="F102" s="20">
        <v>533514.0</v>
      </c>
      <c r="G102" s="17" t="s">
        <v>1849</v>
      </c>
      <c r="H102" s="24">
        <v>0.9592</v>
      </c>
      <c r="I102" s="25">
        <v>331.0</v>
      </c>
      <c r="J102" s="29">
        <f t="shared" si="1"/>
        <v>0.0408</v>
      </c>
    </row>
    <row r="103">
      <c r="A103" s="17" t="s">
        <v>2233</v>
      </c>
      <c r="B103" s="20">
        <v>593646.0</v>
      </c>
      <c r="C103" s="17" t="s">
        <v>2349</v>
      </c>
      <c r="D103" s="24">
        <v>1.0</v>
      </c>
      <c r="E103" s="25">
        <v>2.0</v>
      </c>
      <c r="F103" s="20">
        <v>585103.0</v>
      </c>
      <c r="G103" s="17" t="s">
        <v>2233</v>
      </c>
      <c r="H103" s="24">
        <v>0.9506</v>
      </c>
      <c r="I103" s="25">
        <v>847.0</v>
      </c>
      <c r="J103" s="29">
        <f t="shared" si="1"/>
        <v>0.0494</v>
      </c>
    </row>
    <row r="104">
      <c r="A104" s="17" t="s">
        <v>351</v>
      </c>
      <c r="B104" s="20">
        <v>522102.0</v>
      </c>
      <c r="C104" s="17" t="s">
        <v>2352</v>
      </c>
      <c r="D104" s="24">
        <v>1.0</v>
      </c>
      <c r="E104" s="25">
        <v>2.0</v>
      </c>
      <c r="F104" s="20">
        <v>465668.0</v>
      </c>
      <c r="G104" s="17" t="s">
        <v>351</v>
      </c>
      <c r="H104" s="24">
        <v>0.9368</v>
      </c>
      <c r="I104" s="25">
        <v>723.0</v>
      </c>
      <c r="J104" s="29">
        <f t="shared" si="1"/>
        <v>0.0632</v>
      </c>
    </row>
    <row r="105">
      <c r="A105" s="17" t="s">
        <v>694</v>
      </c>
      <c r="B105" s="20">
        <v>522196.0</v>
      </c>
      <c r="C105" s="17" t="s">
        <v>2354</v>
      </c>
      <c r="D105" s="24">
        <v>1.0</v>
      </c>
      <c r="E105" s="25">
        <v>2.0</v>
      </c>
      <c r="F105" s="20">
        <v>186506.0</v>
      </c>
      <c r="G105" s="17" t="s">
        <v>694</v>
      </c>
      <c r="H105" s="24">
        <v>0.91</v>
      </c>
      <c r="I105" s="25">
        <v>169.0</v>
      </c>
      <c r="J105" s="29">
        <f t="shared" si="1"/>
        <v>0.09</v>
      </c>
    </row>
    <row r="106">
      <c r="A106" s="17" t="s">
        <v>2254</v>
      </c>
      <c r="B106" s="20">
        <v>522118.0</v>
      </c>
      <c r="C106" s="17" t="s">
        <v>2356</v>
      </c>
      <c r="D106" s="24">
        <v>1.0</v>
      </c>
      <c r="E106" s="25">
        <v>2.0</v>
      </c>
      <c r="F106" s="20">
        <v>522437.0</v>
      </c>
      <c r="G106" s="17" t="s">
        <v>2254</v>
      </c>
      <c r="H106" s="24">
        <v>0.8767</v>
      </c>
      <c r="I106" s="25">
        <v>331.0</v>
      </c>
      <c r="J106" s="29">
        <f t="shared" si="1"/>
        <v>0.1233</v>
      </c>
    </row>
    <row r="107">
      <c r="A107" s="17" t="s">
        <v>826</v>
      </c>
      <c r="B107" s="20">
        <v>522177.0</v>
      </c>
      <c r="C107" s="17" t="s">
        <v>2359</v>
      </c>
      <c r="D107" s="24">
        <v>1.0</v>
      </c>
      <c r="E107" s="25">
        <v>2.0</v>
      </c>
      <c r="F107" s="20">
        <v>166897.0</v>
      </c>
      <c r="G107" s="17" t="s">
        <v>826</v>
      </c>
      <c r="H107" s="24">
        <v>0.9629</v>
      </c>
      <c r="I107" s="25">
        <v>583.0</v>
      </c>
      <c r="J107" s="29">
        <f t="shared" si="1"/>
        <v>0.0371</v>
      </c>
    </row>
    <row r="108">
      <c r="A108" s="17" t="s">
        <v>2296</v>
      </c>
      <c r="B108" s="20">
        <v>594385.0</v>
      </c>
      <c r="C108" s="17" t="s">
        <v>2361</v>
      </c>
      <c r="D108" s="24">
        <v>1.0</v>
      </c>
      <c r="E108" s="25">
        <v>2.0</v>
      </c>
      <c r="F108" s="20">
        <v>591211.0</v>
      </c>
      <c r="G108" s="17" t="s">
        <v>2296</v>
      </c>
      <c r="H108" s="24">
        <v>0.9898</v>
      </c>
      <c r="I108" s="25">
        <v>272.0</v>
      </c>
      <c r="J108" s="29">
        <f t="shared" si="1"/>
        <v>0.0102</v>
      </c>
    </row>
    <row r="109">
      <c r="A109" s="17" t="s">
        <v>2363</v>
      </c>
      <c r="B109" s="20">
        <v>522085.0</v>
      </c>
      <c r="C109" s="17" t="s">
        <v>2364</v>
      </c>
      <c r="D109" s="24">
        <v>1.0</v>
      </c>
      <c r="E109" s="25">
        <v>2.0</v>
      </c>
      <c r="F109" s="20">
        <v>474974.0</v>
      </c>
      <c r="G109" s="17" t="s">
        <v>2274</v>
      </c>
      <c r="H109" s="24">
        <v>0.9124</v>
      </c>
      <c r="I109" s="25">
        <v>472.0</v>
      </c>
      <c r="J109" s="29">
        <f t="shared" si="1"/>
        <v>0.0876</v>
      </c>
    </row>
    <row r="110">
      <c r="A110" s="17" t="s">
        <v>2367</v>
      </c>
      <c r="B110" s="20">
        <v>521861.0</v>
      </c>
      <c r="C110" s="17" t="s">
        <v>2368</v>
      </c>
      <c r="D110" s="24">
        <v>1.0</v>
      </c>
      <c r="E110" s="25">
        <v>1.0</v>
      </c>
      <c r="F110" s="20">
        <v>396340.0</v>
      </c>
      <c r="G110" s="17" t="s">
        <v>1353</v>
      </c>
      <c r="H110" s="24">
        <v>0.9644</v>
      </c>
      <c r="I110" s="25">
        <v>820.0</v>
      </c>
      <c r="J110" s="29">
        <f t="shared" si="1"/>
        <v>0.0356</v>
      </c>
    </row>
    <row r="111">
      <c r="A111" s="17" t="s">
        <v>2278</v>
      </c>
      <c r="B111" s="20">
        <v>522084.0</v>
      </c>
      <c r="C111" s="17" t="s">
        <v>2370</v>
      </c>
      <c r="D111" s="24">
        <v>1.0</v>
      </c>
      <c r="E111" s="25">
        <v>1.0</v>
      </c>
      <c r="F111" s="20">
        <v>435690.0</v>
      </c>
      <c r="G111" s="17" t="s">
        <v>2278</v>
      </c>
      <c r="H111" s="24">
        <v>0.8734</v>
      </c>
      <c r="I111" s="25">
        <v>707.0</v>
      </c>
      <c r="J111" s="29">
        <f t="shared" si="1"/>
        <v>0.1266</v>
      </c>
    </row>
    <row r="112">
      <c r="A112" s="17" t="s">
        <v>2225</v>
      </c>
      <c r="B112" s="20">
        <v>525962.0</v>
      </c>
      <c r="C112" s="17" t="s">
        <v>2373</v>
      </c>
      <c r="D112" s="24">
        <v>1.0</v>
      </c>
      <c r="E112" s="25">
        <v>1.0</v>
      </c>
      <c r="F112" s="20">
        <v>526843.0</v>
      </c>
      <c r="G112" s="17" t="s">
        <v>2225</v>
      </c>
      <c r="H112" s="24">
        <v>0.942</v>
      </c>
      <c r="I112" s="25">
        <v>321.0</v>
      </c>
      <c r="J112" s="29">
        <f t="shared" si="1"/>
        <v>0.058</v>
      </c>
    </row>
    <row r="113">
      <c r="A113" s="17" t="s">
        <v>2244</v>
      </c>
      <c r="B113" s="20">
        <v>522171.0</v>
      </c>
      <c r="C113" s="17" t="s">
        <v>2375</v>
      </c>
      <c r="D113" s="24">
        <v>1.0</v>
      </c>
      <c r="E113" s="25">
        <v>1.0</v>
      </c>
      <c r="F113" s="20">
        <v>459939.0</v>
      </c>
      <c r="G113" s="17" t="s">
        <v>2244</v>
      </c>
      <c r="H113" s="24">
        <v>0.902</v>
      </c>
      <c r="I113" s="25">
        <v>531.0</v>
      </c>
      <c r="J113" s="29">
        <f t="shared" si="1"/>
        <v>0.098</v>
      </c>
    </row>
    <row r="114">
      <c r="A114" s="17" t="s">
        <v>196</v>
      </c>
      <c r="B114" s="20">
        <v>522186.0</v>
      </c>
      <c r="C114" s="17" t="s">
        <v>2377</v>
      </c>
      <c r="D114" s="24">
        <v>1.0</v>
      </c>
      <c r="E114" s="25">
        <v>1.0</v>
      </c>
      <c r="F114" s="20">
        <v>449793.0</v>
      </c>
      <c r="G114" s="17" t="s">
        <v>196</v>
      </c>
      <c r="H114" s="24">
        <v>0.9015</v>
      </c>
      <c r="I114" s="25">
        <v>1870.0</v>
      </c>
      <c r="J114" s="29">
        <f t="shared" si="1"/>
        <v>0.0985</v>
      </c>
    </row>
    <row r="115">
      <c r="A115" s="17" t="s">
        <v>1308</v>
      </c>
      <c r="B115" s="20">
        <v>522170.0</v>
      </c>
      <c r="C115" s="17" t="s">
        <v>2379</v>
      </c>
      <c r="D115" s="24">
        <v>1.0</v>
      </c>
      <c r="E115" s="25">
        <v>1.0</v>
      </c>
      <c r="F115" s="20">
        <v>491673.0</v>
      </c>
      <c r="G115" s="17" t="s">
        <v>1308</v>
      </c>
      <c r="H115" s="24">
        <v>0.8414</v>
      </c>
      <c r="I115" s="25">
        <v>680.0</v>
      </c>
      <c r="J115" s="29">
        <f t="shared" si="1"/>
        <v>0.1586</v>
      </c>
    </row>
    <row r="116">
      <c r="B116" s="41"/>
      <c r="F116" s="41"/>
    </row>
    <row r="117">
      <c r="B117" s="41"/>
      <c r="F117" s="41"/>
    </row>
    <row r="118">
      <c r="B118" s="41"/>
      <c r="F118" s="41"/>
    </row>
    <row r="119">
      <c r="B119" s="41"/>
      <c r="F119" s="41"/>
    </row>
    <row r="120">
      <c r="B120" s="41"/>
      <c r="F120" s="41"/>
    </row>
    <row r="121">
      <c r="B121" s="41"/>
      <c r="F121" s="41"/>
    </row>
    <row r="122">
      <c r="B122" s="41"/>
      <c r="F122" s="41"/>
    </row>
    <row r="123">
      <c r="B123" s="41"/>
      <c r="F123" s="41"/>
    </row>
    <row r="124">
      <c r="B124" s="41"/>
      <c r="F124" s="41"/>
    </row>
    <row r="125">
      <c r="B125" s="41"/>
      <c r="F125" s="41"/>
    </row>
    <row r="126">
      <c r="B126" s="41"/>
      <c r="F126" s="41"/>
    </row>
    <row r="127">
      <c r="B127" s="41"/>
      <c r="F127" s="41"/>
    </row>
    <row r="128">
      <c r="B128" s="41"/>
      <c r="F128" s="41"/>
    </row>
    <row r="129">
      <c r="B129" s="41"/>
      <c r="F129" s="41"/>
    </row>
    <row r="130">
      <c r="B130" s="41"/>
      <c r="F130" s="41"/>
    </row>
    <row r="131">
      <c r="B131" s="41"/>
      <c r="F131" s="41"/>
    </row>
    <row r="132">
      <c r="B132" s="41"/>
      <c r="F132" s="41"/>
    </row>
    <row r="133">
      <c r="B133" s="41"/>
      <c r="F133" s="41"/>
    </row>
    <row r="134">
      <c r="B134" s="41"/>
      <c r="F134" s="41"/>
    </row>
    <row r="135">
      <c r="B135" s="41"/>
      <c r="F135" s="41"/>
    </row>
    <row r="136">
      <c r="B136" s="41"/>
      <c r="F136" s="41"/>
    </row>
    <row r="137">
      <c r="B137" s="41"/>
      <c r="F137" s="41"/>
    </row>
    <row r="138">
      <c r="B138" s="41"/>
      <c r="F138" s="41"/>
    </row>
    <row r="139">
      <c r="B139" s="41"/>
      <c r="F139" s="41"/>
    </row>
    <row r="140">
      <c r="B140" s="41"/>
      <c r="F140" s="41"/>
    </row>
    <row r="141">
      <c r="B141" s="41"/>
      <c r="F141" s="41"/>
    </row>
    <row r="142">
      <c r="B142" s="41"/>
      <c r="F142" s="41"/>
    </row>
    <row r="143">
      <c r="B143" s="41"/>
      <c r="F143" s="41"/>
    </row>
    <row r="144">
      <c r="B144" s="41"/>
      <c r="F144" s="41"/>
    </row>
    <row r="145">
      <c r="B145" s="41"/>
      <c r="F145" s="41"/>
    </row>
    <row r="146">
      <c r="B146" s="41"/>
      <c r="F146" s="41"/>
    </row>
    <row r="147">
      <c r="B147" s="41"/>
      <c r="F147" s="41"/>
    </row>
    <row r="148">
      <c r="B148" s="41"/>
      <c r="F148" s="41"/>
    </row>
    <row r="149">
      <c r="B149" s="41"/>
      <c r="F149" s="41"/>
    </row>
    <row r="150">
      <c r="B150" s="41"/>
      <c r="F150" s="41"/>
    </row>
    <row r="151">
      <c r="B151" s="41"/>
      <c r="F151" s="41"/>
    </row>
    <row r="152">
      <c r="B152" s="41"/>
      <c r="F152" s="41"/>
    </row>
    <row r="153">
      <c r="B153" s="41"/>
      <c r="F153" s="41"/>
    </row>
    <row r="154">
      <c r="B154" s="41"/>
      <c r="F154" s="41"/>
    </row>
    <row r="155">
      <c r="B155" s="41"/>
      <c r="F155" s="41"/>
    </row>
    <row r="156">
      <c r="B156" s="41"/>
      <c r="F156" s="41"/>
    </row>
    <row r="157">
      <c r="B157" s="41"/>
      <c r="F157" s="41"/>
    </row>
    <row r="158">
      <c r="B158" s="41"/>
      <c r="F158" s="41"/>
    </row>
    <row r="159">
      <c r="B159" s="41"/>
      <c r="F159" s="41"/>
    </row>
    <row r="160">
      <c r="B160" s="41"/>
      <c r="F160" s="41"/>
    </row>
    <row r="161">
      <c r="B161" s="41"/>
      <c r="F161" s="41"/>
    </row>
    <row r="162">
      <c r="B162" s="41"/>
      <c r="F162" s="41"/>
    </row>
    <row r="163">
      <c r="B163" s="41"/>
      <c r="F163" s="41"/>
    </row>
    <row r="164">
      <c r="B164" s="41"/>
      <c r="F164" s="41"/>
    </row>
    <row r="165">
      <c r="B165" s="41"/>
      <c r="F165" s="41"/>
    </row>
    <row r="166">
      <c r="B166" s="41"/>
      <c r="F166" s="41"/>
    </row>
    <row r="167">
      <c r="B167" s="41"/>
      <c r="F167" s="41"/>
    </row>
    <row r="168">
      <c r="B168" s="41"/>
      <c r="F168" s="41"/>
    </row>
    <row r="169">
      <c r="B169" s="41"/>
      <c r="F169" s="41"/>
    </row>
    <row r="170">
      <c r="B170" s="41"/>
      <c r="F170" s="41"/>
    </row>
    <row r="171">
      <c r="B171" s="41"/>
      <c r="F171" s="41"/>
    </row>
    <row r="172">
      <c r="B172" s="41"/>
      <c r="F172" s="41"/>
    </row>
    <row r="173">
      <c r="B173" s="41"/>
      <c r="F173" s="41"/>
    </row>
    <row r="174">
      <c r="B174" s="41"/>
      <c r="F174" s="41"/>
    </row>
    <row r="175">
      <c r="B175" s="41"/>
      <c r="F175" s="41"/>
    </row>
    <row r="176">
      <c r="B176" s="41"/>
      <c r="F176" s="41"/>
    </row>
    <row r="177">
      <c r="B177" s="41"/>
      <c r="F177" s="41"/>
    </row>
    <row r="178">
      <c r="B178" s="41"/>
      <c r="F178" s="41"/>
    </row>
    <row r="179">
      <c r="B179" s="41"/>
      <c r="F179" s="41"/>
    </row>
    <row r="180">
      <c r="B180" s="41"/>
      <c r="F180" s="41"/>
    </row>
    <row r="181">
      <c r="B181" s="41"/>
      <c r="F181" s="41"/>
    </row>
    <row r="182">
      <c r="B182" s="41"/>
      <c r="F182" s="41"/>
    </row>
    <row r="183">
      <c r="B183" s="41"/>
      <c r="F183" s="41"/>
    </row>
    <row r="184">
      <c r="B184" s="41"/>
      <c r="F184" s="41"/>
    </row>
    <row r="185">
      <c r="B185" s="41"/>
      <c r="F185" s="41"/>
    </row>
    <row r="186">
      <c r="B186" s="41"/>
      <c r="F186" s="41"/>
    </row>
    <row r="187">
      <c r="B187" s="41"/>
      <c r="F187" s="41"/>
    </row>
    <row r="188">
      <c r="B188" s="41"/>
      <c r="F188" s="41"/>
    </row>
    <row r="189">
      <c r="B189" s="41"/>
      <c r="F189" s="41"/>
    </row>
    <row r="190">
      <c r="B190" s="41"/>
      <c r="F190" s="41"/>
    </row>
    <row r="191">
      <c r="B191" s="41"/>
      <c r="F191" s="41"/>
    </row>
    <row r="192">
      <c r="B192" s="41"/>
      <c r="F192" s="41"/>
    </row>
    <row r="193">
      <c r="B193" s="41"/>
      <c r="F193" s="41"/>
    </row>
    <row r="194">
      <c r="B194" s="41"/>
      <c r="F194" s="41"/>
    </row>
    <row r="195">
      <c r="B195" s="41"/>
      <c r="F195" s="41"/>
    </row>
    <row r="196">
      <c r="B196" s="41"/>
      <c r="F196" s="41"/>
    </row>
    <row r="197">
      <c r="B197" s="41"/>
      <c r="F197" s="41"/>
    </row>
    <row r="198">
      <c r="B198" s="41"/>
      <c r="F198" s="41"/>
    </row>
    <row r="199">
      <c r="B199" s="41"/>
      <c r="F199" s="41"/>
    </row>
    <row r="200">
      <c r="B200" s="41"/>
      <c r="F200" s="41"/>
    </row>
    <row r="201">
      <c r="B201" s="41"/>
      <c r="F201" s="41"/>
    </row>
    <row r="202">
      <c r="B202" s="41"/>
      <c r="F202" s="41"/>
    </row>
    <row r="203">
      <c r="B203" s="41"/>
      <c r="F203" s="41"/>
    </row>
    <row r="204">
      <c r="B204" s="41"/>
      <c r="F204" s="41"/>
    </row>
    <row r="205">
      <c r="B205" s="41"/>
      <c r="F205" s="41"/>
    </row>
    <row r="206">
      <c r="B206" s="41"/>
      <c r="F206" s="41"/>
    </row>
    <row r="207">
      <c r="B207" s="41"/>
      <c r="F207" s="41"/>
    </row>
    <row r="208">
      <c r="B208" s="41"/>
      <c r="F208" s="41"/>
    </row>
    <row r="209">
      <c r="B209" s="41"/>
      <c r="F209" s="41"/>
    </row>
    <row r="210">
      <c r="B210" s="41"/>
      <c r="F210" s="41"/>
    </row>
    <row r="211">
      <c r="B211" s="41"/>
      <c r="F211" s="41"/>
    </row>
    <row r="212">
      <c r="B212" s="41"/>
      <c r="F212" s="41"/>
    </row>
    <row r="213">
      <c r="B213" s="41"/>
      <c r="F213" s="41"/>
    </row>
    <row r="214">
      <c r="B214" s="41"/>
      <c r="F214" s="41"/>
    </row>
    <row r="215">
      <c r="B215" s="41"/>
      <c r="F215" s="41"/>
    </row>
    <row r="216">
      <c r="B216" s="41"/>
      <c r="F216" s="41"/>
    </row>
    <row r="217">
      <c r="B217" s="41"/>
      <c r="F217" s="41"/>
    </row>
    <row r="218">
      <c r="B218" s="41"/>
      <c r="F218" s="41"/>
    </row>
    <row r="219">
      <c r="B219" s="41"/>
      <c r="F219" s="41"/>
    </row>
    <row r="220">
      <c r="B220" s="41"/>
      <c r="F220" s="41"/>
    </row>
    <row r="221">
      <c r="B221" s="41"/>
      <c r="F221" s="41"/>
    </row>
    <row r="222">
      <c r="B222" s="41"/>
      <c r="F222" s="41"/>
    </row>
    <row r="223">
      <c r="B223" s="41"/>
      <c r="F223" s="41"/>
    </row>
    <row r="224">
      <c r="B224" s="41"/>
      <c r="F224" s="41"/>
    </row>
    <row r="225">
      <c r="B225" s="41"/>
      <c r="F225" s="41"/>
    </row>
    <row r="226">
      <c r="B226" s="41"/>
      <c r="F226" s="41"/>
    </row>
    <row r="227">
      <c r="B227" s="41"/>
      <c r="F227" s="41"/>
    </row>
    <row r="228">
      <c r="B228" s="41"/>
      <c r="F228" s="41"/>
    </row>
    <row r="229">
      <c r="B229" s="41"/>
      <c r="F229" s="41"/>
    </row>
    <row r="230">
      <c r="B230" s="41"/>
      <c r="F230" s="41"/>
    </row>
    <row r="231">
      <c r="B231" s="41"/>
      <c r="F231" s="41"/>
    </row>
    <row r="232">
      <c r="B232" s="41"/>
      <c r="F232" s="41"/>
    </row>
    <row r="233">
      <c r="B233" s="41"/>
      <c r="F233" s="41"/>
    </row>
    <row r="234">
      <c r="B234" s="41"/>
      <c r="F234" s="41"/>
    </row>
    <row r="235">
      <c r="B235" s="41"/>
      <c r="F235" s="41"/>
    </row>
    <row r="236">
      <c r="B236" s="41"/>
      <c r="F236" s="41"/>
    </row>
    <row r="237">
      <c r="B237" s="41"/>
      <c r="F237" s="41"/>
    </row>
    <row r="238">
      <c r="B238" s="41"/>
      <c r="F238" s="41"/>
    </row>
    <row r="239">
      <c r="B239" s="41"/>
      <c r="F239" s="41"/>
    </row>
    <row r="240">
      <c r="B240" s="41"/>
      <c r="F240" s="41"/>
    </row>
    <row r="241">
      <c r="B241" s="41"/>
      <c r="F241" s="41"/>
    </row>
    <row r="242">
      <c r="B242" s="41"/>
      <c r="F242" s="41"/>
    </row>
    <row r="243">
      <c r="B243" s="41"/>
      <c r="F243" s="41"/>
    </row>
    <row r="244">
      <c r="B244" s="41"/>
      <c r="F244" s="41"/>
    </row>
    <row r="245">
      <c r="B245" s="41"/>
      <c r="F245" s="41"/>
    </row>
    <row r="246">
      <c r="B246" s="41"/>
      <c r="F246" s="41"/>
    </row>
    <row r="247">
      <c r="B247" s="41"/>
      <c r="F247" s="41"/>
    </row>
    <row r="248">
      <c r="B248" s="41"/>
      <c r="F248" s="41"/>
    </row>
    <row r="249">
      <c r="B249" s="41"/>
      <c r="F249" s="41"/>
    </row>
    <row r="250">
      <c r="B250" s="41"/>
      <c r="F250" s="41"/>
    </row>
    <row r="251">
      <c r="B251" s="41"/>
      <c r="F251" s="41"/>
    </row>
    <row r="252">
      <c r="B252" s="41"/>
      <c r="F252" s="41"/>
    </row>
    <row r="253">
      <c r="B253" s="41"/>
      <c r="F253" s="41"/>
    </row>
    <row r="254">
      <c r="B254" s="41"/>
      <c r="F254" s="41"/>
    </row>
    <row r="255">
      <c r="B255" s="41"/>
      <c r="F255" s="41"/>
    </row>
    <row r="256">
      <c r="B256" s="41"/>
      <c r="F256" s="41"/>
    </row>
    <row r="257">
      <c r="B257" s="41"/>
      <c r="F257" s="41"/>
    </row>
    <row r="258">
      <c r="B258" s="41"/>
      <c r="F258" s="41"/>
    </row>
    <row r="259">
      <c r="B259" s="41"/>
      <c r="F259" s="41"/>
    </row>
    <row r="260">
      <c r="B260" s="41"/>
      <c r="F260" s="41"/>
    </row>
    <row r="261">
      <c r="B261" s="41"/>
      <c r="F261" s="41"/>
    </row>
    <row r="262">
      <c r="B262" s="41"/>
      <c r="F262" s="41"/>
    </row>
    <row r="263">
      <c r="B263" s="41"/>
      <c r="F263" s="41"/>
    </row>
    <row r="264">
      <c r="B264" s="41"/>
      <c r="F264" s="41"/>
    </row>
    <row r="265">
      <c r="B265" s="41"/>
      <c r="F265" s="41"/>
    </row>
    <row r="266">
      <c r="B266" s="41"/>
      <c r="F266" s="41"/>
    </row>
    <row r="267">
      <c r="B267" s="41"/>
      <c r="F267" s="41"/>
    </row>
    <row r="268">
      <c r="B268" s="41"/>
      <c r="F268" s="41"/>
    </row>
    <row r="269">
      <c r="B269" s="41"/>
      <c r="F269" s="41"/>
    </row>
    <row r="270">
      <c r="B270" s="41"/>
      <c r="F270" s="41"/>
    </row>
    <row r="271">
      <c r="B271" s="41"/>
      <c r="F271" s="41"/>
    </row>
    <row r="272">
      <c r="B272" s="41"/>
      <c r="F272" s="41"/>
    </row>
    <row r="273">
      <c r="B273" s="41"/>
      <c r="F273" s="41"/>
    </row>
    <row r="274">
      <c r="B274" s="41"/>
      <c r="F274" s="41"/>
    </row>
    <row r="275">
      <c r="B275" s="41"/>
      <c r="F275" s="41"/>
    </row>
    <row r="276">
      <c r="B276" s="41"/>
      <c r="F276" s="41"/>
    </row>
    <row r="277">
      <c r="B277" s="41"/>
      <c r="F277" s="41"/>
    </row>
    <row r="278">
      <c r="B278" s="41"/>
      <c r="F278" s="41"/>
    </row>
    <row r="279">
      <c r="B279" s="41"/>
      <c r="F279" s="41"/>
    </row>
    <row r="280">
      <c r="B280" s="41"/>
      <c r="F280" s="41"/>
    </row>
    <row r="281">
      <c r="B281" s="41"/>
      <c r="F281" s="41"/>
    </row>
    <row r="282">
      <c r="B282" s="41"/>
      <c r="F282" s="41"/>
    </row>
    <row r="283">
      <c r="B283" s="41"/>
      <c r="F283" s="41"/>
    </row>
    <row r="284">
      <c r="B284" s="41"/>
      <c r="F284" s="41"/>
    </row>
    <row r="285">
      <c r="B285" s="41"/>
      <c r="F285" s="41"/>
    </row>
    <row r="286">
      <c r="B286" s="41"/>
      <c r="F286" s="41"/>
    </row>
    <row r="287">
      <c r="B287" s="41"/>
      <c r="F287" s="41"/>
    </row>
    <row r="288">
      <c r="B288" s="41"/>
      <c r="F288" s="41"/>
    </row>
    <row r="289">
      <c r="B289" s="41"/>
      <c r="F289" s="41"/>
    </row>
    <row r="290">
      <c r="B290" s="41"/>
      <c r="F290" s="41"/>
    </row>
    <row r="291">
      <c r="B291" s="41"/>
      <c r="F291" s="41"/>
    </row>
    <row r="292">
      <c r="B292" s="41"/>
      <c r="F292" s="41"/>
    </row>
    <row r="293">
      <c r="B293" s="41"/>
      <c r="F293" s="41"/>
    </row>
    <row r="294">
      <c r="B294" s="41"/>
      <c r="F294" s="41"/>
    </row>
    <row r="295">
      <c r="B295" s="41"/>
      <c r="F295" s="41"/>
    </row>
    <row r="296">
      <c r="B296" s="41"/>
      <c r="F296" s="41"/>
    </row>
    <row r="297">
      <c r="B297" s="41"/>
      <c r="F297" s="41"/>
    </row>
    <row r="298">
      <c r="B298" s="41"/>
      <c r="F298" s="41"/>
    </row>
    <row r="299">
      <c r="B299" s="41"/>
      <c r="F299" s="41"/>
    </row>
    <row r="300">
      <c r="B300" s="41"/>
      <c r="F300" s="41"/>
    </row>
    <row r="301">
      <c r="B301" s="41"/>
      <c r="F301" s="41"/>
    </row>
    <row r="302">
      <c r="B302" s="41"/>
      <c r="F302" s="41"/>
    </row>
    <row r="303">
      <c r="B303" s="41"/>
      <c r="F303" s="41"/>
    </row>
    <row r="304">
      <c r="B304" s="41"/>
      <c r="F304" s="41"/>
    </row>
    <row r="305">
      <c r="B305" s="41"/>
      <c r="F305" s="41"/>
    </row>
    <row r="306">
      <c r="B306" s="41"/>
      <c r="F306" s="41"/>
    </row>
    <row r="307">
      <c r="B307" s="41"/>
      <c r="F307" s="41"/>
    </row>
    <row r="308">
      <c r="B308" s="41"/>
      <c r="F308" s="41"/>
    </row>
    <row r="309">
      <c r="B309" s="41"/>
      <c r="F309" s="41"/>
    </row>
    <row r="310">
      <c r="B310" s="41"/>
      <c r="F310" s="41"/>
    </row>
    <row r="311">
      <c r="B311" s="41"/>
      <c r="F311" s="41"/>
    </row>
    <row r="312">
      <c r="B312" s="41"/>
      <c r="F312" s="41"/>
    </row>
    <row r="313">
      <c r="B313" s="41"/>
      <c r="F313" s="41"/>
    </row>
    <row r="314">
      <c r="B314" s="41"/>
      <c r="F314" s="41"/>
    </row>
    <row r="315">
      <c r="B315" s="41"/>
      <c r="F315" s="41"/>
    </row>
    <row r="316">
      <c r="B316" s="41"/>
      <c r="F316" s="41"/>
    </row>
    <row r="317">
      <c r="B317" s="41"/>
      <c r="F317" s="41"/>
    </row>
    <row r="318">
      <c r="B318" s="41"/>
      <c r="F318" s="41"/>
    </row>
    <row r="319">
      <c r="B319" s="41"/>
      <c r="F319" s="41"/>
    </row>
    <row r="320">
      <c r="B320" s="41"/>
      <c r="F320" s="41"/>
    </row>
    <row r="321">
      <c r="B321" s="41"/>
      <c r="F321" s="41"/>
    </row>
    <row r="322">
      <c r="B322" s="41"/>
      <c r="F322" s="41"/>
    </row>
    <row r="323">
      <c r="B323" s="41"/>
      <c r="F323" s="41"/>
    </row>
    <row r="324">
      <c r="B324" s="41"/>
      <c r="F324" s="41"/>
    </row>
    <row r="325">
      <c r="B325" s="41"/>
      <c r="F325" s="41"/>
    </row>
    <row r="326">
      <c r="B326" s="41"/>
      <c r="F326" s="41"/>
    </row>
    <row r="327">
      <c r="B327" s="41"/>
      <c r="F327" s="41"/>
    </row>
    <row r="328">
      <c r="B328" s="41"/>
      <c r="F328" s="41"/>
    </row>
    <row r="329">
      <c r="B329" s="41"/>
      <c r="F329" s="41"/>
    </row>
    <row r="330">
      <c r="B330" s="41"/>
      <c r="F330" s="41"/>
    </row>
    <row r="331">
      <c r="B331" s="41"/>
      <c r="F331" s="41"/>
    </row>
    <row r="332">
      <c r="B332" s="41"/>
      <c r="F332" s="41"/>
    </row>
    <row r="333">
      <c r="B333" s="41"/>
      <c r="F333" s="41"/>
    </row>
    <row r="334">
      <c r="B334" s="41"/>
      <c r="F334" s="41"/>
    </row>
    <row r="335">
      <c r="B335" s="41"/>
      <c r="F335" s="41"/>
    </row>
    <row r="336">
      <c r="B336" s="41"/>
      <c r="F336" s="41"/>
    </row>
    <row r="337">
      <c r="B337" s="41"/>
      <c r="F337" s="41"/>
    </row>
    <row r="338">
      <c r="B338" s="41"/>
      <c r="F338" s="41"/>
    </row>
    <row r="339">
      <c r="B339" s="41"/>
      <c r="F339" s="41"/>
    </row>
    <row r="340">
      <c r="B340" s="41"/>
      <c r="F340" s="41"/>
    </row>
    <row r="341">
      <c r="B341" s="41"/>
      <c r="F341" s="41"/>
    </row>
    <row r="342">
      <c r="B342" s="41"/>
      <c r="F342" s="41"/>
    </row>
    <row r="343">
      <c r="B343" s="41"/>
      <c r="F343" s="41"/>
    </row>
    <row r="344">
      <c r="B344" s="41"/>
      <c r="F344" s="41"/>
    </row>
    <row r="345">
      <c r="B345" s="41"/>
      <c r="F345" s="41"/>
    </row>
    <row r="346">
      <c r="B346" s="41"/>
      <c r="F346" s="41"/>
    </row>
    <row r="347">
      <c r="B347" s="41"/>
      <c r="F347" s="41"/>
    </row>
    <row r="348">
      <c r="B348" s="41"/>
      <c r="F348" s="41"/>
    </row>
    <row r="349">
      <c r="B349" s="41"/>
      <c r="F349" s="41"/>
    </row>
    <row r="350">
      <c r="B350" s="41"/>
      <c r="F350" s="41"/>
    </row>
    <row r="351">
      <c r="B351" s="41"/>
      <c r="F351" s="41"/>
    </row>
    <row r="352">
      <c r="B352" s="41"/>
      <c r="F352" s="41"/>
    </row>
    <row r="353">
      <c r="B353" s="41"/>
      <c r="F353" s="41"/>
    </row>
    <row r="354">
      <c r="B354" s="41"/>
      <c r="F354" s="41"/>
    </row>
    <row r="355">
      <c r="B355" s="41"/>
      <c r="F355" s="41"/>
    </row>
    <row r="356">
      <c r="B356" s="41"/>
      <c r="F356" s="41"/>
    </row>
    <row r="357">
      <c r="B357" s="41"/>
      <c r="F357" s="41"/>
    </row>
    <row r="358">
      <c r="B358" s="41"/>
      <c r="F358" s="41"/>
    </row>
    <row r="359">
      <c r="B359" s="41"/>
      <c r="F359" s="41"/>
    </row>
    <row r="360">
      <c r="B360" s="41"/>
      <c r="F360" s="41"/>
    </row>
    <row r="361">
      <c r="B361" s="41"/>
      <c r="F361" s="41"/>
    </row>
    <row r="362">
      <c r="B362" s="41"/>
      <c r="F362" s="41"/>
    </row>
    <row r="363">
      <c r="B363" s="41"/>
      <c r="F363" s="41"/>
    </row>
    <row r="364">
      <c r="B364" s="41"/>
      <c r="F364" s="41"/>
    </row>
    <row r="365">
      <c r="B365" s="41"/>
      <c r="F365" s="41"/>
    </row>
    <row r="366">
      <c r="B366" s="41"/>
      <c r="F366" s="41"/>
    </row>
    <row r="367">
      <c r="B367" s="41"/>
      <c r="F367" s="41"/>
    </row>
    <row r="368">
      <c r="B368" s="41"/>
      <c r="F368" s="41"/>
    </row>
    <row r="369">
      <c r="B369" s="41"/>
      <c r="F369" s="41"/>
    </row>
    <row r="370">
      <c r="B370" s="41"/>
      <c r="F370" s="41"/>
    </row>
    <row r="371">
      <c r="B371" s="41"/>
      <c r="F371" s="41"/>
    </row>
    <row r="372">
      <c r="B372" s="41"/>
      <c r="F372" s="41"/>
    </row>
    <row r="373">
      <c r="B373" s="41"/>
      <c r="F373" s="41"/>
    </row>
    <row r="374">
      <c r="B374" s="41"/>
      <c r="F374" s="41"/>
    </row>
    <row r="375">
      <c r="B375" s="41"/>
      <c r="F375" s="41"/>
    </row>
    <row r="376">
      <c r="B376" s="41"/>
      <c r="F376" s="41"/>
    </row>
    <row r="377">
      <c r="B377" s="41"/>
      <c r="F377" s="41"/>
    </row>
    <row r="378">
      <c r="B378" s="41"/>
      <c r="F378" s="41"/>
    </row>
    <row r="379">
      <c r="B379" s="41"/>
      <c r="F379" s="41"/>
    </row>
    <row r="380">
      <c r="B380" s="41"/>
      <c r="F380" s="41"/>
    </row>
    <row r="381">
      <c r="B381" s="41"/>
      <c r="F381" s="41"/>
    </row>
    <row r="382">
      <c r="B382" s="41"/>
      <c r="F382" s="41"/>
    </row>
    <row r="383">
      <c r="B383" s="41"/>
      <c r="F383" s="41"/>
    </row>
    <row r="384">
      <c r="B384" s="41"/>
      <c r="F384" s="41"/>
    </row>
    <row r="385">
      <c r="B385" s="41"/>
      <c r="F385" s="41"/>
    </row>
    <row r="386">
      <c r="B386" s="41"/>
      <c r="F386" s="41"/>
    </row>
    <row r="387">
      <c r="B387" s="41"/>
      <c r="F387" s="41"/>
    </row>
    <row r="388">
      <c r="B388" s="41"/>
      <c r="F388" s="41"/>
    </row>
    <row r="389">
      <c r="B389" s="41"/>
      <c r="F389" s="41"/>
    </row>
    <row r="390">
      <c r="B390" s="41"/>
      <c r="F390" s="41"/>
    </row>
    <row r="391">
      <c r="B391" s="41"/>
      <c r="F391" s="41"/>
    </row>
    <row r="392">
      <c r="B392" s="41"/>
      <c r="F392" s="41"/>
    </row>
    <row r="393">
      <c r="B393" s="41"/>
      <c r="F393" s="41"/>
    </row>
    <row r="394">
      <c r="B394" s="41"/>
      <c r="F394" s="41"/>
    </row>
    <row r="395">
      <c r="B395" s="41"/>
      <c r="F395" s="41"/>
    </row>
    <row r="396">
      <c r="B396" s="41"/>
      <c r="F396" s="41"/>
    </row>
    <row r="397">
      <c r="B397" s="41"/>
      <c r="F397" s="41"/>
    </row>
    <row r="398">
      <c r="B398" s="41"/>
      <c r="F398" s="41"/>
    </row>
    <row r="399">
      <c r="B399" s="41"/>
      <c r="F399" s="41"/>
    </row>
    <row r="400">
      <c r="B400" s="41"/>
      <c r="F400" s="41"/>
    </row>
    <row r="401">
      <c r="B401" s="41"/>
      <c r="F401" s="41"/>
    </row>
    <row r="402">
      <c r="B402" s="41"/>
      <c r="F402" s="41"/>
    </row>
    <row r="403">
      <c r="B403" s="41"/>
      <c r="F403" s="41"/>
    </row>
    <row r="404">
      <c r="B404" s="41"/>
      <c r="F404" s="41"/>
    </row>
    <row r="405">
      <c r="B405" s="41"/>
      <c r="F405" s="41"/>
    </row>
    <row r="406">
      <c r="B406" s="41"/>
      <c r="F406" s="41"/>
    </row>
    <row r="407">
      <c r="B407" s="41"/>
      <c r="F407" s="41"/>
    </row>
    <row r="408">
      <c r="B408" s="41"/>
      <c r="F408" s="41"/>
    </row>
    <row r="409">
      <c r="B409" s="41"/>
      <c r="F409" s="41"/>
    </row>
    <row r="410">
      <c r="B410" s="41"/>
      <c r="F410" s="41"/>
    </row>
    <row r="411">
      <c r="B411" s="41"/>
      <c r="F411" s="41"/>
    </row>
    <row r="412">
      <c r="B412" s="41"/>
      <c r="F412" s="41"/>
    </row>
    <row r="413">
      <c r="B413" s="41"/>
      <c r="F413" s="41"/>
    </row>
    <row r="414">
      <c r="B414" s="41"/>
      <c r="F414" s="41"/>
    </row>
    <row r="415">
      <c r="B415" s="41"/>
      <c r="F415" s="41"/>
    </row>
    <row r="416">
      <c r="B416" s="41"/>
      <c r="F416" s="41"/>
    </row>
    <row r="417">
      <c r="B417" s="41"/>
      <c r="F417" s="41"/>
    </row>
    <row r="418">
      <c r="B418" s="41"/>
      <c r="F418" s="41"/>
    </row>
    <row r="419">
      <c r="B419" s="41"/>
      <c r="F419" s="41"/>
    </row>
    <row r="420">
      <c r="B420" s="41"/>
      <c r="F420" s="41"/>
    </row>
    <row r="421">
      <c r="B421" s="41"/>
      <c r="F421" s="41"/>
    </row>
    <row r="422">
      <c r="B422" s="41"/>
      <c r="F422" s="41"/>
    </row>
    <row r="423">
      <c r="B423" s="41"/>
      <c r="F423" s="41"/>
    </row>
    <row r="424">
      <c r="B424" s="41"/>
      <c r="F424" s="41"/>
    </row>
    <row r="425">
      <c r="B425" s="41"/>
      <c r="F425" s="41"/>
    </row>
    <row r="426">
      <c r="B426" s="41"/>
      <c r="F426" s="41"/>
    </row>
    <row r="427">
      <c r="B427" s="41"/>
      <c r="F427" s="41"/>
    </row>
    <row r="428">
      <c r="B428" s="41"/>
      <c r="F428" s="41"/>
    </row>
    <row r="429">
      <c r="B429" s="41"/>
      <c r="F429" s="41"/>
    </row>
    <row r="430">
      <c r="B430" s="41"/>
      <c r="F430" s="41"/>
    </row>
    <row r="431">
      <c r="B431" s="41"/>
      <c r="F431" s="41"/>
    </row>
    <row r="432">
      <c r="B432" s="41"/>
      <c r="F432" s="41"/>
    </row>
    <row r="433">
      <c r="B433" s="41"/>
      <c r="F433" s="41"/>
    </row>
    <row r="434">
      <c r="B434" s="41"/>
      <c r="F434" s="41"/>
    </row>
    <row r="435">
      <c r="B435" s="41"/>
      <c r="F435" s="41"/>
    </row>
    <row r="436">
      <c r="B436" s="41"/>
      <c r="F436" s="41"/>
    </row>
    <row r="437">
      <c r="B437" s="41"/>
      <c r="F437" s="41"/>
    </row>
    <row r="438">
      <c r="B438" s="41"/>
      <c r="F438" s="41"/>
    </row>
    <row r="439">
      <c r="B439" s="41"/>
      <c r="F439" s="41"/>
    </row>
    <row r="440">
      <c r="B440" s="41"/>
      <c r="F440" s="41"/>
    </row>
    <row r="441">
      <c r="B441" s="41"/>
      <c r="F441" s="41"/>
    </row>
    <row r="442">
      <c r="B442" s="41"/>
      <c r="F442" s="41"/>
    </row>
    <row r="443">
      <c r="B443" s="41"/>
      <c r="F443" s="41"/>
    </row>
    <row r="444">
      <c r="B444" s="41"/>
      <c r="F444" s="41"/>
    </row>
    <row r="445">
      <c r="B445" s="41"/>
      <c r="F445" s="41"/>
    </row>
    <row r="446">
      <c r="B446" s="41"/>
      <c r="F446" s="41"/>
    </row>
    <row r="447">
      <c r="B447" s="41"/>
      <c r="F447" s="41"/>
    </row>
    <row r="448">
      <c r="B448" s="41"/>
      <c r="F448" s="41"/>
    </row>
    <row r="449">
      <c r="B449" s="41"/>
      <c r="F449" s="41"/>
    </row>
    <row r="450">
      <c r="B450" s="41"/>
      <c r="F450" s="41"/>
    </row>
    <row r="451">
      <c r="B451" s="41"/>
      <c r="F451" s="41"/>
    </row>
    <row r="452">
      <c r="B452" s="41"/>
      <c r="F452" s="41"/>
    </row>
    <row r="453">
      <c r="B453" s="41"/>
      <c r="F453" s="41"/>
    </row>
    <row r="454">
      <c r="B454" s="41"/>
      <c r="F454" s="41"/>
    </row>
    <row r="455">
      <c r="B455" s="41"/>
      <c r="F455" s="41"/>
    </row>
    <row r="456">
      <c r="B456" s="41"/>
      <c r="F456" s="41"/>
    </row>
    <row r="457">
      <c r="B457" s="41"/>
      <c r="F457" s="41"/>
    </row>
    <row r="458">
      <c r="B458" s="41"/>
      <c r="F458" s="41"/>
    </row>
    <row r="459">
      <c r="B459" s="41"/>
      <c r="F459" s="41"/>
    </row>
    <row r="460">
      <c r="B460" s="41"/>
      <c r="F460" s="41"/>
    </row>
    <row r="461">
      <c r="B461" s="41"/>
      <c r="F461" s="41"/>
    </row>
    <row r="462">
      <c r="B462" s="41"/>
      <c r="F462" s="41"/>
    </row>
    <row r="463">
      <c r="B463" s="41"/>
      <c r="F463" s="41"/>
    </row>
    <row r="464">
      <c r="B464" s="41"/>
      <c r="F464" s="41"/>
    </row>
    <row r="465">
      <c r="B465" s="41"/>
      <c r="F465" s="41"/>
    </row>
    <row r="466">
      <c r="B466" s="41"/>
      <c r="F466" s="41"/>
    </row>
    <row r="467">
      <c r="B467" s="41"/>
      <c r="F467" s="41"/>
    </row>
    <row r="468">
      <c r="B468" s="41"/>
      <c r="F468" s="41"/>
    </row>
    <row r="469">
      <c r="B469" s="41"/>
      <c r="F469" s="41"/>
    </row>
    <row r="470">
      <c r="B470" s="41"/>
      <c r="F470" s="41"/>
    </row>
    <row r="471">
      <c r="B471" s="41"/>
      <c r="F471" s="41"/>
    </row>
    <row r="472">
      <c r="B472" s="41"/>
      <c r="F472" s="41"/>
    </row>
    <row r="473">
      <c r="B473" s="41"/>
      <c r="F473" s="41"/>
    </row>
    <row r="474">
      <c r="B474" s="41"/>
      <c r="F474" s="41"/>
    </row>
    <row r="475">
      <c r="B475" s="41"/>
      <c r="F475" s="41"/>
    </row>
    <row r="476">
      <c r="B476" s="41"/>
      <c r="F476" s="41"/>
    </row>
    <row r="477">
      <c r="B477" s="41"/>
      <c r="F477" s="41"/>
    </row>
    <row r="478">
      <c r="B478" s="41"/>
      <c r="F478" s="41"/>
    </row>
    <row r="479">
      <c r="B479" s="41"/>
      <c r="F479" s="41"/>
    </row>
    <row r="480">
      <c r="B480" s="41"/>
      <c r="F480" s="41"/>
    </row>
    <row r="481">
      <c r="B481" s="41"/>
      <c r="F481" s="41"/>
    </row>
    <row r="482">
      <c r="B482" s="41"/>
      <c r="F482" s="41"/>
    </row>
    <row r="483">
      <c r="B483" s="41"/>
      <c r="F483" s="41"/>
    </row>
    <row r="484">
      <c r="B484" s="41"/>
      <c r="F484" s="41"/>
    </row>
    <row r="485">
      <c r="B485" s="41"/>
      <c r="F485" s="41"/>
    </row>
    <row r="486">
      <c r="B486" s="41"/>
      <c r="F486" s="41"/>
    </row>
    <row r="487">
      <c r="B487" s="41"/>
      <c r="F487" s="41"/>
    </row>
    <row r="488">
      <c r="B488" s="41"/>
      <c r="F488" s="41"/>
    </row>
    <row r="489">
      <c r="B489" s="41"/>
      <c r="F489" s="41"/>
    </row>
    <row r="490">
      <c r="B490" s="41"/>
      <c r="F490" s="41"/>
    </row>
    <row r="491">
      <c r="B491" s="41"/>
      <c r="F491" s="41"/>
    </row>
    <row r="492">
      <c r="B492" s="41"/>
      <c r="F492" s="41"/>
    </row>
    <row r="493">
      <c r="B493" s="41"/>
      <c r="F493" s="41"/>
    </row>
    <row r="494">
      <c r="B494" s="41"/>
      <c r="F494" s="41"/>
    </row>
    <row r="495">
      <c r="B495" s="41"/>
      <c r="F495" s="41"/>
    </row>
    <row r="496">
      <c r="B496" s="41"/>
      <c r="F496" s="41"/>
    </row>
    <row r="497">
      <c r="B497" s="41"/>
      <c r="F497" s="41"/>
    </row>
    <row r="498">
      <c r="B498" s="41"/>
      <c r="F498" s="41"/>
    </row>
    <row r="499">
      <c r="B499" s="41"/>
      <c r="F499" s="41"/>
    </row>
    <row r="500">
      <c r="B500" s="41"/>
      <c r="F500" s="41"/>
    </row>
    <row r="501">
      <c r="B501" s="41"/>
      <c r="F501" s="41"/>
    </row>
    <row r="502">
      <c r="B502" s="41"/>
      <c r="F502" s="41"/>
    </row>
    <row r="503">
      <c r="B503" s="41"/>
      <c r="F503" s="41"/>
    </row>
    <row r="504">
      <c r="B504" s="41"/>
      <c r="F504" s="41"/>
    </row>
    <row r="505">
      <c r="B505" s="41"/>
      <c r="F505" s="41"/>
    </row>
    <row r="506">
      <c r="B506" s="41"/>
      <c r="F506" s="41"/>
    </row>
    <row r="507">
      <c r="B507" s="41"/>
      <c r="F507" s="41"/>
    </row>
    <row r="508">
      <c r="B508" s="41"/>
      <c r="F508" s="41"/>
    </row>
    <row r="509">
      <c r="B509" s="41"/>
      <c r="F509" s="41"/>
    </row>
    <row r="510">
      <c r="B510" s="41"/>
      <c r="F510" s="41"/>
    </row>
    <row r="511">
      <c r="B511" s="41"/>
      <c r="F511" s="41"/>
    </row>
    <row r="512">
      <c r="B512" s="41"/>
      <c r="F512" s="41"/>
    </row>
    <row r="513">
      <c r="B513" s="41"/>
      <c r="F513" s="41"/>
    </row>
    <row r="514">
      <c r="B514" s="41"/>
      <c r="F514" s="41"/>
    </row>
    <row r="515">
      <c r="B515" s="41"/>
      <c r="F515" s="41"/>
    </row>
    <row r="516">
      <c r="B516" s="41"/>
      <c r="F516" s="41"/>
    </row>
    <row r="517">
      <c r="B517" s="41"/>
      <c r="F517" s="41"/>
    </row>
    <row r="518">
      <c r="B518" s="41"/>
      <c r="F518" s="41"/>
    </row>
    <row r="519">
      <c r="B519" s="41"/>
      <c r="F519" s="41"/>
    </row>
    <row r="520">
      <c r="B520" s="41"/>
      <c r="F520" s="41"/>
    </row>
    <row r="521">
      <c r="B521" s="41"/>
      <c r="F521" s="41"/>
    </row>
    <row r="522">
      <c r="B522" s="41"/>
      <c r="F522" s="41"/>
    </row>
    <row r="523">
      <c r="B523" s="41"/>
      <c r="F523" s="41"/>
    </row>
    <row r="524">
      <c r="B524" s="41"/>
      <c r="F524" s="41"/>
    </row>
    <row r="525">
      <c r="B525" s="41"/>
      <c r="F525" s="41"/>
    </row>
    <row r="526">
      <c r="B526" s="41"/>
      <c r="F526" s="41"/>
    </row>
    <row r="527">
      <c r="B527" s="41"/>
      <c r="F527" s="41"/>
    </row>
    <row r="528">
      <c r="B528" s="41"/>
      <c r="F528" s="41"/>
    </row>
    <row r="529">
      <c r="B529" s="41"/>
      <c r="F529" s="41"/>
    </row>
    <row r="530">
      <c r="B530" s="41"/>
      <c r="F530" s="41"/>
    </row>
    <row r="531">
      <c r="B531" s="41"/>
      <c r="F531" s="41"/>
    </row>
    <row r="532">
      <c r="B532" s="41"/>
      <c r="F532" s="41"/>
    </row>
    <row r="533">
      <c r="B533" s="41"/>
      <c r="F533" s="41"/>
    </row>
    <row r="534">
      <c r="B534" s="41"/>
      <c r="F534" s="41"/>
    </row>
    <row r="535">
      <c r="B535" s="41"/>
      <c r="F535" s="41"/>
    </row>
    <row r="536">
      <c r="B536" s="41"/>
      <c r="F536" s="41"/>
    </row>
    <row r="537">
      <c r="B537" s="41"/>
      <c r="F537" s="41"/>
    </row>
    <row r="538">
      <c r="B538" s="41"/>
      <c r="F538" s="41"/>
    </row>
    <row r="539">
      <c r="B539" s="41"/>
      <c r="F539" s="41"/>
    </row>
    <row r="540">
      <c r="B540" s="41"/>
      <c r="F540" s="41"/>
    </row>
    <row r="541">
      <c r="B541" s="41"/>
      <c r="F541" s="41"/>
    </row>
    <row r="542">
      <c r="B542" s="41"/>
      <c r="F542" s="41"/>
    </row>
    <row r="543">
      <c r="B543" s="41"/>
      <c r="F543" s="41"/>
    </row>
    <row r="544">
      <c r="B544" s="41"/>
      <c r="F544" s="41"/>
    </row>
    <row r="545">
      <c r="B545" s="41"/>
      <c r="F545" s="41"/>
    </row>
    <row r="546">
      <c r="B546" s="41"/>
      <c r="F546" s="41"/>
    </row>
    <row r="547">
      <c r="B547" s="41"/>
      <c r="F547" s="41"/>
    </row>
    <row r="548">
      <c r="B548" s="41"/>
      <c r="F548" s="41"/>
    </row>
    <row r="549">
      <c r="B549" s="41"/>
      <c r="F549" s="41"/>
    </row>
    <row r="550">
      <c r="B550" s="41"/>
      <c r="F550" s="41"/>
    </row>
    <row r="551">
      <c r="B551" s="41"/>
      <c r="F551" s="41"/>
    </row>
    <row r="552">
      <c r="B552" s="41"/>
      <c r="F552" s="41"/>
    </row>
    <row r="553">
      <c r="B553" s="41"/>
      <c r="F553" s="41"/>
    </row>
    <row r="554">
      <c r="B554" s="41"/>
      <c r="F554" s="41"/>
    </row>
    <row r="555">
      <c r="B555" s="41"/>
      <c r="F555" s="41"/>
    </row>
    <row r="556">
      <c r="B556" s="41"/>
      <c r="F556" s="41"/>
    </row>
    <row r="557">
      <c r="B557" s="41"/>
      <c r="F557" s="41"/>
    </row>
    <row r="558">
      <c r="B558" s="41"/>
      <c r="F558" s="41"/>
    </row>
    <row r="559">
      <c r="B559" s="41"/>
      <c r="F559" s="41"/>
    </row>
    <row r="560">
      <c r="B560" s="41"/>
      <c r="F560" s="41"/>
    </row>
    <row r="561">
      <c r="B561" s="41"/>
      <c r="F561" s="41"/>
    </row>
    <row r="562">
      <c r="B562" s="41"/>
      <c r="F562" s="41"/>
    </row>
    <row r="563">
      <c r="B563" s="41"/>
      <c r="F563" s="41"/>
    </row>
    <row r="564">
      <c r="B564" s="41"/>
      <c r="F564" s="41"/>
    </row>
    <row r="565">
      <c r="B565" s="41"/>
      <c r="F565" s="41"/>
    </row>
    <row r="566">
      <c r="B566" s="41"/>
      <c r="F566" s="41"/>
    </row>
    <row r="567">
      <c r="B567" s="41"/>
      <c r="F567" s="41"/>
    </row>
    <row r="568">
      <c r="B568" s="41"/>
      <c r="F568" s="41"/>
    </row>
    <row r="569">
      <c r="B569" s="41"/>
      <c r="F569" s="41"/>
    </row>
    <row r="570">
      <c r="B570" s="41"/>
      <c r="F570" s="41"/>
    </row>
    <row r="571">
      <c r="B571" s="41"/>
      <c r="F571" s="41"/>
    </row>
    <row r="572">
      <c r="B572" s="41"/>
      <c r="F572" s="41"/>
    </row>
    <row r="573">
      <c r="B573" s="41"/>
      <c r="F573" s="41"/>
    </row>
    <row r="574">
      <c r="B574" s="41"/>
      <c r="F574" s="41"/>
    </row>
    <row r="575">
      <c r="B575" s="41"/>
      <c r="F575" s="41"/>
    </row>
    <row r="576">
      <c r="B576" s="41"/>
      <c r="F576" s="41"/>
    </row>
    <row r="577">
      <c r="B577" s="41"/>
      <c r="F577" s="41"/>
    </row>
    <row r="578">
      <c r="B578" s="41"/>
      <c r="F578" s="41"/>
    </row>
    <row r="579">
      <c r="B579" s="41"/>
      <c r="F579" s="41"/>
    </row>
    <row r="580">
      <c r="B580" s="41"/>
      <c r="F580" s="41"/>
    </row>
    <row r="581">
      <c r="B581" s="41"/>
      <c r="F581" s="41"/>
    </row>
    <row r="582">
      <c r="B582" s="41"/>
      <c r="F582" s="41"/>
    </row>
    <row r="583">
      <c r="B583" s="41"/>
      <c r="F583" s="41"/>
    </row>
    <row r="584">
      <c r="B584" s="41"/>
      <c r="F584" s="41"/>
    </row>
    <row r="585">
      <c r="B585" s="41"/>
      <c r="F585" s="41"/>
    </row>
    <row r="586">
      <c r="B586" s="41"/>
      <c r="F586" s="41"/>
    </row>
    <row r="587">
      <c r="B587" s="41"/>
      <c r="F587" s="41"/>
    </row>
    <row r="588">
      <c r="B588" s="41"/>
      <c r="F588" s="41"/>
    </row>
    <row r="589">
      <c r="B589" s="41"/>
      <c r="F589" s="41"/>
    </row>
    <row r="590">
      <c r="B590" s="41"/>
      <c r="F590" s="41"/>
    </row>
    <row r="591">
      <c r="B591" s="41"/>
      <c r="F591" s="41"/>
    </row>
    <row r="592">
      <c r="B592" s="41"/>
      <c r="F592" s="41"/>
    </row>
    <row r="593">
      <c r="B593" s="41"/>
      <c r="F593" s="41"/>
    </row>
    <row r="594">
      <c r="B594" s="41"/>
      <c r="F594" s="41"/>
    </row>
    <row r="595">
      <c r="B595" s="41"/>
      <c r="F595" s="41"/>
    </row>
    <row r="596">
      <c r="B596" s="41"/>
      <c r="F596" s="41"/>
    </row>
    <row r="597">
      <c r="B597" s="41"/>
      <c r="F597" s="41"/>
    </row>
    <row r="598">
      <c r="B598" s="41"/>
      <c r="F598" s="41"/>
    </row>
    <row r="599">
      <c r="B599" s="41"/>
      <c r="F599" s="41"/>
    </row>
    <row r="600">
      <c r="B600" s="41"/>
      <c r="F600" s="41"/>
    </row>
    <row r="601">
      <c r="B601" s="41"/>
      <c r="F601" s="41"/>
    </row>
    <row r="602">
      <c r="B602" s="41"/>
      <c r="F602" s="41"/>
    </row>
    <row r="603">
      <c r="B603" s="41"/>
      <c r="F603" s="41"/>
    </row>
    <row r="604">
      <c r="B604" s="41"/>
      <c r="F604" s="41"/>
    </row>
    <row r="605">
      <c r="B605" s="41"/>
      <c r="F605" s="41"/>
    </row>
    <row r="606">
      <c r="B606" s="41"/>
      <c r="F606" s="41"/>
    </row>
    <row r="607">
      <c r="B607" s="41"/>
      <c r="F607" s="41"/>
    </row>
    <row r="608">
      <c r="B608" s="41"/>
      <c r="F608" s="41"/>
    </row>
    <row r="609">
      <c r="B609" s="41"/>
      <c r="F609" s="41"/>
    </row>
    <row r="610">
      <c r="B610" s="41"/>
      <c r="F610" s="41"/>
    </row>
    <row r="611">
      <c r="B611" s="41"/>
      <c r="F611" s="41"/>
    </row>
    <row r="612">
      <c r="B612" s="41"/>
      <c r="F612" s="41"/>
    </row>
    <row r="613">
      <c r="B613" s="41"/>
      <c r="F613" s="41"/>
    </row>
    <row r="614">
      <c r="B614" s="41"/>
      <c r="F614" s="41"/>
    </row>
    <row r="615">
      <c r="B615" s="41"/>
      <c r="F615" s="41"/>
    </row>
    <row r="616">
      <c r="B616" s="41"/>
      <c r="F616" s="41"/>
    </row>
    <row r="617">
      <c r="B617" s="41"/>
      <c r="F617" s="41"/>
    </row>
    <row r="618">
      <c r="B618" s="41"/>
      <c r="F618" s="41"/>
    </row>
    <row r="619">
      <c r="B619" s="41"/>
      <c r="F619" s="41"/>
    </row>
    <row r="620">
      <c r="B620" s="41"/>
      <c r="F620" s="41"/>
    </row>
    <row r="621">
      <c r="B621" s="41"/>
      <c r="F621" s="41"/>
    </row>
    <row r="622">
      <c r="B622" s="41"/>
      <c r="F622" s="41"/>
    </row>
    <row r="623">
      <c r="B623" s="41"/>
      <c r="F623" s="41"/>
    </row>
    <row r="624">
      <c r="B624" s="41"/>
      <c r="F624" s="41"/>
    </row>
    <row r="625">
      <c r="B625" s="41"/>
      <c r="F625" s="41"/>
    </row>
    <row r="626">
      <c r="B626" s="41"/>
      <c r="F626" s="41"/>
    </row>
    <row r="627">
      <c r="B627" s="41"/>
      <c r="F627" s="41"/>
    </row>
    <row r="628">
      <c r="B628" s="41"/>
      <c r="F628" s="41"/>
    </row>
    <row r="629">
      <c r="B629" s="41"/>
      <c r="F629" s="41"/>
    </row>
    <row r="630">
      <c r="B630" s="41"/>
      <c r="F630" s="41"/>
    </row>
    <row r="631">
      <c r="B631" s="41"/>
      <c r="F631" s="41"/>
    </row>
    <row r="632">
      <c r="B632" s="41"/>
      <c r="F632" s="41"/>
    </row>
    <row r="633">
      <c r="B633" s="41"/>
      <c r="F633" s="41"/>
    </row>
    <row r="634">
      <c r="B634" s="41"/>
      <c r="F634" s="41"/>
    </row>
    <row r="635">
      <c r="B635" s="41"/>
      <c r="F635" s="41"/>
    </row>
    <row r="636">
      <c r="B636" s="41"/>
      <c r="F636" s="41"/>
    </row>
    <row r="637">
      <c r="B637" s="41"/>
      <c r="F637" s="41"/>
    </row>
    <row r="638">
      <c r="B638" s="41"/>
      <c r="F638" s="41"/>
    </row>
    <row r="639">
      <c r="B639" s="41"/>
      <c r="F639" s="41"/>
    </row>
    <row r="640">
      <c r="B640" s="41"/>
      <c r="F640" s="41"/>
    </row>
    <row r="641">
      <c r="B641" s="41"/>
      <c r="F641" s="41"/>
    </row>
    <row r="642">
      <c r="B642" s="41"/>
      <c r="F642" s="41"/>
    </row>
    <row r="643">
      <c r="B643" s="41"/>
      <c r="F643" s="41"/>
    </row>
    <row r="644">
      <c r="B644" s="41"/>
      <c r="F644" s="41"/>
    </row>
    <row r="645">
      <c r="B645" s="41"/>
      <c r="F645" s="41"/>
    </row>
    <row r="646">
      <c r="B646" s="41"/>
      <c r="F646" s="41"/>
    </row>
    <row r="647">
      <c r="B647" s="41"/>
      <c r="F647" s="41"/>
    </row>
    <row r="648">
      <c r="B648" s="41"/>
      <c r="F648" s="41"/>
    </row>
    <row r="649">
      <c r="B649" s="41"/>
      <c r="F649" s="41"/>
    </row>
    <row r="650">
      <c r="B650" s="41"/>
      <c r="F650" s="41"/>
    </row>
    <row r="651">
      <c r="B651" s="41"/>
      <c r="F651" s="41"/>
    </row>
    <row r="652">
      <c r="B652" s="41"/>
      <c r="F652" s="41"/>
    </row>
    <row r="653">
      <c r="B653" s="41"/>
      <c r="F653" s="41"/>
    </row>
    <row r="654">
      <c r="B654" s="41"/>
      <c r="F654" s="41"/>
    </row>
    <row r="655">
      <c r="B655" s="41"/>
      <c r="F655" s="41"/>
    </row>
    <row r="656">
      <c r="B656" s="41"/>
      <c r="F656" s="41"/>
    </row>
    <row r="657">
      <c r="B657" s="41"/>
      <c r="F657" s="41"/>
    </row>
    <row r="658">
      <c r="B658" s="41"/>
      <c r="F658" s="41"/>
    </row>
    <row r="659">
      <c r="B659" s="41"/>
      <c r="F659" s="41"/>
    </row>
    <row r="660">
      <c r="B660" s="41"/>
      <c r="F660" s="41"/>
    </row>
    <row r="661">
      <c r="B661" s="41"/>
      <c r="F661" s="41"/>
    </row>
    <row r="662">
      <c r="B662" s="41"/>
      <c r="F662" s="41"/>
    </row>
    <row r="663">
      <c r="B663" s="41"/>
      <c r="F663" s="41"/>
    </row>
    <row r="664">
      <c r="B664" s="41"/>
      <c r="F664" s="41"/>
    </row>
    <row r="665">
      <c r="B665" s="41"/>
      <c r="F665" s="41"/>
    </row>
    <row r="666">
      <c r="B666" s="41"/>
      <c r="F666" s="41"/>
    </row>
    <row r="667">
      <c r="B667" s="41"/>
      <c r="F667" s="41"/>
    </row>
    <row r="668">
      <c r="B668" s="41"/>
      <c r="F668" s="41"/>
    </row>
    <row r="669">
      <c r="B669" s="41"/>
      <c r="F669" s="41"/>
    </row>
    <row r="670">
      <c r="B670" s="41"/>
      <c r="F670" s="41"/>
    </row>
    <row r="671">
      <c r="B671" s="41"/>
      <c r="F671" s="41"/>
    </row>
    <row r="672">
      <c r="B672" s="41"/>
      <c r="F672" s="41"/>
    </row>
    <row r="673">
      <c r="B673" s="41"/>
      <c r="F673" s="41"/>
    </row>
    <row r="674">
      <c r="B674" s="41"/>
      <c r="F674" s="41"/>
    </row>
    <row r="675">
      <c r="B675" s="41"/>
      <c r="F675" s="41"/>
    </row>
    <row r="676">
      <c r="B676" s="41"/>
      <c r="F676" s="41"/>
    </row>
    <row r="677">
      <c r="B677" s="41"/>
      <c r="F677" s="41"/>
    </row>
    <row r="678">
      <c r="B678" s="41"/>
      <c r="F678" s="41"/>
    </row>
    <row r="679">
      <c r="B679" s="41"/>
      <c r="F679" s="41"/>
    </row>
    <row r="680">
      <c r="B680" s="41"/>
      <c r="F680" s="41"/>
    </row>
    <row r="681">
      <c r="B681" s="41"/>
      <c r="F681" s="41"/>
    </row>
    <row r="682">
      <c r="B682" s="41"/>
      <c r="F682" s="41"/>
    </row>
    <row r="683">
      <c r="B683" s="41"/>
      <c r="F683" s="41"/>
    </row>
    <row r="684">
      <c r="B684" s="41"/>
      <c r="F684" s="41"/>
    </row>
    <row r="685">
      <c r="B685" s="41"/>
      <c r="F685" s="41"/>
    </row>
    <row r="686">
      <c r="B686" s="41"/>
      <c r="F686" s="41"/>
    </row>
    <row r="687">
      <c r="B687" s="41"/>
      <c r="F687" s="41"/>
    </row>
    <row r="688">
      <c r="B688" s="41"/>
      <c r="F688" s="41"/>
    </row>
    <row r="689">
      <c r="B689" s="41"/>
      <c r="F689" s="41"/>
    </row>
    <row r="690">
      <c r="B690" s="41"/>
      <c r="F690" s="41"/>
    </row>
    <row r="691">
      <c r="B691" s="41"/>
      <c r="F691" s="41"/>
    </row>
    <row r="692">
      <c r="B692" s="41"/>
      <c r="F692" s="41"/>
    </row>
    <row r="693">
      <c r="B693" s="41"/>
      <c r="F693" s="41"/>
    </row>
    <row r="694">
      <c r="B694" s="41"/>
      <c r="F694" s="41"/>
    </row>
    <row r="695">
      <c r="B695" s="41"/>
      <c r="F695" s="41"/>
    </row>
    <row r="696">
      <c r="B696" s="41"/>
      <c r="F696" s="41"/>
    </row>
    <row r="697">
      <c r="B697" s="41"/>
      <c r="F697" s="41"/>
    </row>
    <row r="698">
      <c r="B698" s="41"/>
      <c r="F698" s="41"/>
    </row>
    <row r="699">
      <c r="B699" s="41"/>
      <c r="F699" s="41"/>
    </row>
    <row r="700">
      <c r="B700" s="41"/>
      <c r="F700" s="41"/>
    </row>
    <row r="701">
      <c r="B701" s="41"/>
      <c r="F701" s="41"/>
    </row>
    <row r="702">
      <c r="B702" s="41"/>
      <c r="F702" s="41"/>
    </row>
    <row r="703">
      <c r="B703" s="41"/>
      <c r="F703" s="41"/>
    </row>
    <row r="704">
      <c r="B704" s="41"/>
      <c r="F704" s="41"/>
    </row>
    <row r="705">
      <c r="B705" s="41"/>
      <c r="F705" s="41"/>
    </row>
    <row r="706">
      <c r="B706" s="41"/>
      <c r="F706" s="41"/>
    </row>
    <row r="707">
      <c r="B707" s="41"/>
      <c r="F707" s="41"/>
    </row>
    <row r="708">
      <c r="B708" s="41"/>
      <c r="F708" s="41"/>
    </row>
    <row r="709">
      <c r="B709" s="41"/>
      <c r="F709" s="41"/>
    </row>
    <row r="710">
      <c r="B710" s="41"/>
      <c r="F710" s="41"/>
    </row>
    <row r="711">
      <c r="B711" s="41"/>
      <c r="F711" s="41"/>
    </row>
    <row r="712">
      <c r="B712" s="41"/>
      <c r="F712" s="41"/>
    </row>
    <row r="713">
      <c r="B713" s="41"/>
      <c r="F713" s="41"/>
    </row>
    <row r="714">
      <c r="B714" s="41"/>
      <c r="F714" s="41"/>
    </row>
    <row r="715">
      <c r="B715" s="41"/>
      <c r="F715" s="41"/>
    </row>
    <row r="716">
      <c r="B716" s="41"/>
      <c r="F716" s="41"/>
    </row>
    <row r="717">
      <c r="B717" s="41"/>
      <c r="F717" s="41"/>
    </row>
    <row r="718">
      <c r="B718" s="41"/>
      <c r="F718" s="41"/>
    </row>
    <row r="719">
      <c r="B719" s="41"/>
      <c r="F719" s="41"/>
    </row>
    <row r="720">
      <c r="B720" s="41"/>
      <c r="F720" s="41"/>
    </row>
    <row r="721">
      <c r="B721" s="41"/>
      <c r="F721" s="41"/>
    </row>
    <row r="722">
      <c r="B722" s="41"/>
      <c r="F722" s="41"/>
    </row>
    <row r="723">
      <c r="B723" s="41"/>
      <c r="F723" s="41"/>
    </row>
    <row r="724">
      <c r="B724" s="41"/>
      <c r="F724" s="41"/>
    </row>
    <row r="725">
      <c r="B725" s="41"/>
      <c r="F725" s="41"/>
    </row>
    <row r="726">
      <c r="B726" s="41"/>
      <c r="F726" s="41"/>
    </row>
    <row r="727">
      <c r="B727" s="41"/>
      <c r="F727" s="41"/>
    </row>
    <row r="728">
      <c r="B728" s="41"/>
      <c r="F728" s="41"/>
    </row>
    <row r="729">
      <c r="B729" s="41"/>
      <c r="F729" s="41"/>
    </row>
    <row r="730">
      <c r="B730" s="41"/>
      <c r="F730" s="41"/>
    </row>
    <row r="731">
      <c r="B731" s="41"/>
      <c r="F731" s="41"/>
    </row>
    <row r="732">
      <c r="B732" s="41"/>
      <c r="F732" s="41"/>
    </row>
    <row r="733">
      <c r="B733" s="41"/>
      <c r="F733" s="41"/>
    </row>
    <row r="734">
      <c r="B734" s="41"/>
      <c r="F734" s="41"/>
    </row>
    <row r="735">
      <c r="B735" s="41"/>
      <c r="F735" s="41"/>
    </row>
    <row r="736">
      <c r="B736" s="41"/>
      <c r="F736" s="41"/>
    </row>
    <row r="737">
      <c r="B737" s="41"/>
      <c r="F737" s="41"/>
    </row>
    <row r="738">
      <c r="B738" s="41"/>
      <c r="F738" s="41"/>
    </row>
    <row r="739">
      <c r="B739" s="41"/>
      <c r="F739" s="41"/>
    </row>
    <row r="740">
      <c r="B740" s="41"/>
      <c r="F740" s="41"/>
    </row>
    <row r="741">
      <c r="B741" s="41"/>
      <c r="F741" s="41"/>
    </row>
    <row r="742">
      <c r="B742" s="41"/>
      <c r="F742" s="41"/>
    </row>
    <row r="743">
      <c r="B743" s="41"/>
      <c r="F743" s="41"/>
    </row>
    <row r="744">
      <c r="B744" s="41"/>
      <c r="F744" s="41"/>
    </row>
    <row r="745">
      <c r="B745" s="41"/>
      <c r="F745" s="41"/>
    </row>
    <row r="746">
      <c r="B746" s="41"/>
      <c r="F746" s="41"/>
    </row>
    <row r="747">
      <c r="B747" s="41"/>
      <c r="F747" s="41"/>
    </row>
    <row r="748">
      <c r="B748" s="41"/>
      <c r="F748" s="41"/>
    </row>
    <row r="749">
      <c r="B749" s="41"/>
      <c r="F749" s="41"/>
    </row>
    <row r="750">
      <c r="B750" s="41"/>
      <c r="F750" s="41"/>
    </row>
    <row r="751">
      <c r="B751" s="41"/>
      <c r="F751" s="41"/>
    </row>
    <row r="752">
      <c r="B752" s="41"/>
      <c r="F752" s="41"/>
    </row>
    <row r="753">
      <c r="B753" s="41"/>
      <c r="F753" s="41"/>
    </row>
    <row r="754">
      <c r="B754" s="41"/>
      <c r="F754" s="41"/>
    </row>
    <row r="755">
      <c r="B755" s="41"/>
      <c r="F755" s="41"/>
    </row>
    <row r="756">
      <c r="B756" s="41"/>
      <c r="F756" s="41"/>
    </row>
    <row r="757">
      <c r="B757" s="41"/>
      <c r="F757" s="41"/>
    </row>
    <row r="758">
      <c r="B758" s="41"/>
      <c r="F758" s="41"/>
    </row>
    <row r="759">
      <c r="B759" s="41"/>
      <c r="F759" s="41"/>
    </row>
    <row r="760">
      <c r="B760" s="41"/>
      <c r="F760" s="41"/>
    </row>
    <row r="761">
      <c r="B761" s="41"/>
      <c r="F761" s="41"/>
    </row>
    <row r="762">
      <c r="B762" s="41"/>
      <c r="F762" s="41"/>
    </row>
    <row r="763">
      <c r="B763" s="41"/>
      <c r="F763" s="41"/>
    </row>
    <row r="764">
      <c r="B764" s="41"/>
      <c r="F764" s="41"/>
    </row>
    <row r="765">
      <c r="B765" s="41"/>
      <c r="F765" s="41"/>
    </row>
    <row r="766">
      <c r="B766" s="41"/>
      <c r="F766" s="41"/>
    </row>
    <row r="767">
      <c r="B767" s="41"/>
      <c r="F767" s="41"/>
    </row>
    <row r="768">
      <c r="B768" s="41"/>
      <c r="F768" s="41"/>
    </row>
    <row r="769">
      <c r="B769" s="41"/>
      <c r="F769" s="41"/>
    </row>
    <row r="770">
      <c r="B770" s="41"/>
      <c r="F770" s="41"/>
    </row>
    <row r="771">
      <c r="B771" s="41"/>
      <c r="F771" s="41"/>
    </row>
    <row r="772">
      <c r="B772" s="41"/>
      <c r="F772" s="41"/>
    </row>
    <row r="773">
      <c r="B773" s="41"/>
      <c r="F773" s="41"/>
    </row>
    <row r="774">
      <c r="B774" s="41"/>
      <c r="F774" s="41"/>
    </row>
    <row r="775">
      <c r="B775" s="41"/>
      <c r="F775" s="41"/>
    </row>
    <row r="776">
      <c r="B776" s="41"/>
      <c r="F776" s="41"/>
    </row>
    <row r="777">
      <c r="B777" s="41"/>
      <c r="F777" s="41"/>
    </row>
    <row r="778">
      <c r="B778" s="41"/>
      <c r="F778" s="41"/>
    </row>
    <row r="779">
      <c r="B779" s="41"/>
      <c r="F779" s="41"/>
    </row>
    <row r="780">
      <c r="B780" s="41"/>
      <c r="F780" s="41"/>
    </row>
    <row r="781">
      <c r="B781" s="41"/>
      <c r="F781" s="41"/>
    </row>
    <row r="782">
      <c r="B782" s="41"/>
      <c r="F782" s="41"/>
    </row>
    <row r="783">
      <c r="B783" s="41"/>
      <c r="F783" s="41"/>
    </row>
    <row r="784">
      <c r="B784" s="41"/>
      <c r="F784" s="41"/>
    </row>
    <row r="785">
      <c r="B785" s="41"/>
      <c r="F785" s="41"/>
    </row>
    <row r="786">
      <c r="B786" s="41"/>
      <c r="F786" s="41"/>
    </row>
    <row r="787">
      <c r="B787" s="41"/>
      <c r="F787" s="41"/>
    </row>
    <row r="788">
      <c r="B788" s="41"/>
      <c r="F788" s="41"/>
    </row>
    <row r="789">
      <c r="B789" s="41"/>
      <c r="F789" s="41"/>
    </row>
    <row r="790">
      <c r="B790" s="41"/>
      <c r="F790" s="41"/>
    </row>
    <row r="791">
      <c r="B791" s="41"/>
      <c r="F791" s="41"/>
    </row>
    <row r="792">
      <c r="B792" s="41"/>
      <c r="F792" s="41"/>
    </row>
    <row r="793">
      <c r="B793" s="41"/>
      <c r="F793" s="41"/>
    </row>
    <row r="794">
      <c r="B794" s="41"/>
      <c r="F794" s="41"/>
    </row>
    <row r="795">
      <c r="B795" s="41"/>
      <c r="F795" s="41"/>
    </row>
    <row r="796">
      <c r="B796" s="41"/>
      <c r="F796" s="41"/>
    </row>
    <row r="797">
      <c r="B797" s="41"/>
      <c r="F797" s="41"/>
    </row>
    <row r="798">
      <c r="B798" s="41"/>
      <c r="F798" s="41"/>
    </row>
    <row r="799">
      <c r="B799" s="41"/>
      <c r="F799" s="41"/>
    </row>
    <row r="800">
      <c r="B800" s="41"/>
      <c r="F800" s="41"/>
    </row>
    <row r="801">
      <c r="B801" s="41"/>
      <c r="F801" s="41"/>
    </row>
    <row r="802">
      <c r="B802" s="41"/>
      <c r="F802" s="41"/>
    </row>
    <row r="803">
      <c r="B803" s="41"/>
      <c r="F803" s="41"/>
    </row>
    <row r="804">
      <c r="B804" s="41"/>
      <c r="F804" s="41"/>
    </row>
    <row r="805">
      <c r="B805" s="41"/>
      <c r="F805" s="41"/>
    </row>
    <row r="806">
      <c r="B806" s="41"/>
      <c r="F806" s="41"/>
    </row>
    <row r="807">
      <c r="B807" s="41"/>
      <c r="F807" s="41"/>
    </row>
    <row r="808">
      <c r="B808" s="41"/>
      <c r="F808" s="41"/>
    </row>
    <row r="809">
      <c r="B809" s="41"/>
      <c r="F809" s="41"/>
    </row>
    <row r="810">
      <c r="B810" s="41"/>
      <c r="F810" s="41"/>
    </row>
    <row r="811">
      <c r="B811" s="41"/>
      <c r="F811" s="41"/>
    </row>
    <row r="812">
      <c r="B812" s="41"/>
      <c r="F812" s="41"/>
    </row>
    <row r="813">
      <c r="B813" s="41"/>
      <c r="F813" s="41"/>
    </row>
    <row r="814">
      <c r="B814" s="41"/>
      <c r="F814" s="41"/>
    </row>
    <row r="815">
      <c r="B815" s="41"/>
      <c r="F815" s="41"/>
    </row>
    <row r="816">
      <c r="B816" s="41"/>
      <c r="F816" s="41"/>
    </row>
    <row r="817">
      <c r="B817" s="41"/>
      <c r="F817" s="41"/>
    </row>
    <row r="818">
      <c r="B818" s="41"/>
      <c r="F818" s="41"/>
    </row>
    <row r="819">
      <c r="B819" s="41"/>
      <c r="F819" s="41"/>
    </row>
    <row r="820">
      <c r="B820" s="41"/>
      <c r="F820" s="41"/>
    </row>
    <row r="821">
      <c r="B821" s="41"/>
      <c r="F821" s="41"/>
    </row>
    <row r="822">
      <c r="B822" s="41"/>
      <c r="F822" s="41"/>
    </row>
    <row r="823">
      <c r="B823" s="41"/>
      <c r="F823" s="41"/>
    </row>
    <row r="824">
      <c r="B824" s="41"/>
      <c r="F824" s="41"/>
    </row>
    <row r="825">
      <c r="B825" s="41"/>
      <c r="F825" s="41"/>
    </row>
    <row r="826">
      <c r="B826" s="41"/>
      <c r="F826" s="41"/>
    </row>
    <row r="827">
      <c r="B827" s="41"/>
      <c r="F827" s="41"/>
    </row>
    <row r="828">
      <c r="B828" s="41"/>
      <c r="F828" s="41"/>
    </row>
    <row r="829">
      <c r="B829" s="41"/>
      <c r="F829" s="41"/>
    </row>
    <row r="830">
      <c r="B830" s="41"/>
      <c r="F830" s="41"/>
    </row>
    <row r="831">
      <c r="B831" s="41"/>
      <c r="F831" s="41"/>
    </row>
    <row r="832">
      <c r="B832" s="41"/>
      <c r="F832" s="41"/>
    </row>
    <row r="833">
      <c r="B833" s="41"/>
      <c r="F833" s="41"/>
    </row>
    <row r="834">
      <c r="B834" s="41"/>
      <c r="F834" s="41"/>
    </row>
    <row r="835">
      <c r="B835" s="41"/>
      <c r="F835" s="41"/>
    </row>
    <row r="836">
      <c r="B836" s="41"/>
      <c r="F836" s="41"/>
    </row>
    <row r="837">
      <c r="B837" s="41"/>
      <c r="F837" s="41"/>
    </row>
    <row r="838">
      <c r="B838" s="41"/>
      <c r="F838" s="41"/>
    </row>
    <row r="839">
      <c r="B839" s="41"/>
      <c r="F839" s="41"/>
    </row>
    <row r="840">
      <c r="B840" s="41"/>
      <c r="F840" s="41"/>
    </row>
    <row r="841">
      <c r="B841" s="41"/>
      <c r="F841" s="41"/>
    </row>
    <row r="842">
      <c r="B842" s="41"/>
      <c r="F842" s="41"/>
    </row>
    <row r="843">
      <c r="B843" s="41"/>
      <c r="F843" s="41"/>
    </row>
    <row r="844">
      <c r="B844" s="41"/>
      <c r="F844" s="41"/>
    </row>
    <row r="845">
      <c r="B845" s="41"/>
      <c r="F845" s="41"/>
    </row>
    <row r="846">
      <c r="B846" s="41"/>
      <c r="F846" s="41"/>
    </row>
    <row r="847">
      <c r="B847" s="41"/>
      <c r="F847" s="41"/>
    </row>
    <row r="848">
      <c r="B848" s="41"/>
      <c r="F848" s="41"/>
    </row>
    <row r="849">
      <c r="B849" s="41"/>
      <c r="F849" s="41"/>
    </row>
    <row r="850">
      <c r="B850" s="41"/>
      <c r="F850" s="41"/>
    </row>
    <row r="851">
      <c r="B851" s="41"/>
      <c r="F851" s="41"/>
    </row>
    <row r="852">
      <c r="B852" s="41"/>
      <c r="F852" s="41"/>
    </row>
    <row r="853">
      <c r="B853" s="41"/>
      <c r="F853" s="41"/>
    </row>
    <row r="854">
      <c r="B854" s="41"/>
      <c r="F854" s="41"/>
    </row>
    <row r="855">
      <c r="B855" s="41"/>
      <c r="F855" s="41"/>
    </row>
    <row r="856">
      <c r="B856" s="41"/>
      <c r="F856" s="41"/>
    </row>
    <row r="857">
      <c r="B857" s="41"/>
      <c r="F857" s="41"/>
    </row>
    <row r="858">
      <c r="B858" s="41"/>
      <c r="F858" s="41"/>
    </row>
    <row r="859">
      <c r="B859" s="41"/>
      <c r="F859" s="41"/>
    </row>
    <row r="860">
      <c r="B860" s="41"/>
      <c r="F860" s="41"/>
    </row>
    <row r="861">
      <c r="B861" s="41"/>
      <c r="F861" s="41"/>
    </row>
    <row r="862">
      <c r="B862" s="41"/>
      <c r="F862" s="41"/>
    </row>
    <row r="863">
      <c r="B863" s="41"/>
      <c r="F863" s="41"/>
    </row>
    <row r="864">
      <c r="B864" s="41"/>
      <c r="F864" s="41"/>
    </row>
    <row r="865">
      <c r="B865" s="41"/>
      <c r="F865" s="41"/>
    </row>
    <row r="866">
      <c r="B866" s="41"/>
      <c r="F866" s="41"/>
    </row>
    <row r="867">
      <c r="B867" s="41"/>
      <c r="F867" s="41"/>
    </row>
    <row r="868">
      <c r="B868" s="41"/>
      <c r="F868" s="41"/>
    </row>
    <row r="869">
      <c r="B869" s="41"/>
      <c r="F869" s="41"/>
    </row>
    <row r="870">
      <c r="B870" s="41"/>
      <c r="F870" s="41"/>
    </row>
    <row r="871">
      <c r="B871" s="41"/>
      <c r="F871" s="41"/>
    </row>
    <row r="872">
      <c r="B872" s="41"/>
      <c r="F872" s="41"/>
    </row>
    <row r="873">
      <c r="B873" s="41"/>
      <c r="F873" s="41"/>
    </row>
    <row r="874">
      <c r="B874" s="41"/>
      <c r="F874" s="41"/>
    </row>
    <row r="875">
      <c r="B875" s="41"/>
      <c r="F875" s="41"/>
    </row>
    <row r="876">
      <c r="B876" s="41"/>
      <c r="F876" s="41"/>
    </row>
    <row r="877">
      <c r="B877" s="41"/>
      <c r="F877" s="41"/>
    </row>
    <row r="878">
      <c r="B878" s="41"/>
      <c r="F878" s="41"/>
    </row>
    <row r="879">
      <c r="B879" s="41"/>
      <c r="F879" s="41"/>
    </row>
    <row r="880">
      <c r="B880" s="41"/>
      <c r="F880" s="41"/>
    </row>
    <row r="881">
      <c r="B881" s="41"/>
      <c r="F881" s="41"/>
    </row>
    <row r="882">
      <c r="B882" s="41"/>
      <c r="F882" s="41"/>
    </row>
    <row r="883">
      <c r="B883" s="41"/>
      <c r="F883" s="41"/>
    </row>
    <row r="884">
      <c r="B884" s="41"/>
      <c r="F884" s="41"/>
    </row>
    <row r="885">
      <c r="B885" s="41"/>
      <c r="F885" s="41"/>
    </row>
    <row r="886">
      <c r="B886" s="41"/>
      <c r="F886" s="41"/>
    </row>
    <row r="887">
      <c r="B887" s="41"/>
      <c r="F887" s="41"/>
    </row>
    <row r="888">
      <c r="B888" s="41"/>
      <c r="F888" s="41"/>
    </row>
    <row r="889">
      <c r="B889" s="41"/>
      <c r="F889" s="41"/>
    </row>
    <row r="890">
      <c r="B890" s="41"/>
      <c r="F890" s="41"/>
    </row>
    <row r="891">
      <c r="B891" s="41"/>
      <c r="F891" s="41"/>
    </row>
    <row r="892">
      <c r="B892" s="41"/>
      <c r="F892" s="41"/>
    </row>
    <row r="893">
      <c r="B893" s="41"/>
      <c r="F893" s="41"/>
    </row>
    <row r="894">
      <c r="B894" s="41"/>
      <c r="F894" s="41"/>
    </row>
    <row r="895">
      <c r="B895" s="41"/>
      <c r="F895" s="41"/>
    </row>
    <row r="896">
      <c r="B896" s="41"/>
      <c r="F896" s="41"/>
    </row>
    <row r="897">
      <c r="B897" s="41"/>
      <c r="F897" s="41"/>
    </row>
    <row r="898">
      <c r="B898" s="41"/>
      <c r="F898" s="41"/>
    </row>
    <row r="899">
      <c r="B899" s="41"/>
      <c r="F899" s="41"/>
    </row>
    <row r="900">
      <c r="B900" s="41"/>
      <c r="F900" s="41"/>
    </row>
    <row r="901">
      <c r="B901" s="41"/>
      <c r="F901" s="41"/>
    </row>
    <row r="902">
      <c r="B902" s="41"/>
      <c r="F902" s="41"/>
    </row>
    <row r="903">
      <c r="B903" s="41"/>
      <c r="F903" s="41"/>
    </row>
    <row r="904">
      <c r="B904" s="41"/>
      <c r="F904" s="41"/>
    </row>
    <row r="905">
      <c r="B905" s="41"/>
      <c r="F905" s="41"/>
    </row>
    <row r="906">
      <c r="B906" s="41"/>
      <c r="F906" s="41"/>
    </row>
    <row r="907">
      <c r="B907" s="41"/>
      <c r="F907" s="41"/>
    </row>
    <row r="908">
      <c r="B908" s="41"/>
      <c r="F908" s="41"/>
    </row>
    <row r="909">
      <c r="B909" s="41"/>
      <c r="F909" s="41"/>
    </row>
    <row r="910">
      <c r="B910" s="41"/>
      <c r="F910" s="41"/>
    </row>
    <row r="911">
      <c r="B911" s="41"/>
      <c r="F911" s="41"/>
    </row>
    <row r="912">
      <c r="B912" s="41"/>
      <c r="F912" s="41"/>
    </row>
    <row r="913">
      <c r="B913" s="41"/>
      <c r="F913" s="41"/>
    </row>
    <row r="914">
      <c r="B914" s="41"/>
      <c r="F914" s="41"/>
    </row>
    <row r="915">
      <c r="B915" s="41"/>
      <c r="F915" s="41"/>
    </row>
    <row r="916">
      <c r="B916" s="41"/>
      <c r="F916" s="41"/>
    </row>
    <row r="917">
      <c r="B917" s="41"/>
      <c r="F917" s="41"/>
    </row>
    <row r="918">
      <c r="B918" s="41"/>
      <c r="F918" s="41"/>
    </row>
    <row r="919">
      <c r="B919" s="41"/>
      <c r="F919" s="41"/>
    </row>
    <row r="920">
      <c r="B920" s="41"/>
      <c r="F920" s="41"/>
    </row>
    <row r="921">
      <c r="B921" s="41"/>
      <c r="F921" s="41"/>
    </row>
    <row r="922">
      <c r="B922" s="41"/>
      <c r="F922" s="41"/>
    </row>
    <row r="923">
      <c r="B923" s="41"/>
      <c r="F923" s="41"/>
    </row>
    <row r="924">
      <c r="B924" s="41"/>
      <c r="F924" s="41"/>
    </row>
    <row r="925">
      <c r="B925" s="41"/>
      <c r="F925" s="41"/>
    </row>
    <row r="926">
      <c r="B926" s="41"/>
      <c r="F926" s="41"/>
    </row>
    <row r="927">
      <c r="B927" s="41"/>
      <c r="F927" s="41"/>
    </row>
    <row r="928">
      <c r="B928" s="41"/>
      <c r="F928" s="41"/>
    </row>
    <row r="929">
      <c r="B929" s="41"/>
      <c r="F929" s="41"/>
    </row>
    <row r="930">
      <c r="B930" s="41"/>
      <c r="F930" s="41"/>
    </row>
    <row r="931">
      <c r="B931" s="41"/>
      <c r="F931" s="41"/>
    </row>
    <row r="932">
      <c r="B932" s="41"/>
      <c r="F932" s="41"/>
    </row>
    <row r="933">
      <c r="B933" s="41"/>
      <c r="F933" s="41"/>
    </row>
    <row r="934">
      <c r="B934" s="41"/>
      <c r="F934" s="41"/>
    </row>
    <row r="935">
      <c r="B935" s="41"/>
      <c r="F935" s="41"/>
    </row>
    <row r="936">
      <c r="B936" s="41"/>
      <c r="F936" s="41"/>
    </row>
    <row r="937">
      <c r="B937" s="41"/>
      <c r="F937" s="41"/>
    </row>
    <row r="938">
      <c r="B938" s="41"/>
      <c r="F938" s="41"/>
    </row>
    <row r="939">
      <c r="B939" s="41"/>
      <c r="F939" s="41"/>
    </row>
    <row r="940">
      <c r="B940" s="41"/>
      <c r="F940" s="41"/>
    </row>
    <row r="941">
      <c r="B941" s="41"/>
      <c r="F941" s="41"/>
    </row>
    <row r="942">
      <c r="B942" s="41"/>
      <c r="F942" s="41"/>
    </row>
    <row r="943">
      <c r="B943" s="41"/>
      <c r="F943" s="41"/>
    </row>
    <row r="944">
      <c r="B944" s="41"/>
      <c r="F944" s="41"/>
    </row>
    <row r="945">
      <c r="B945" s="41"/>
      <c r="F945" s="41"/>
    </row>
    <row r="946">
      <c r="B946" s="41"/>
      <c r="F946" s="41"/>
    </row>
    <row r="947">
      <c r="B947" s="41"/>
      <c r="F947" s="41"/>
    </row>
    <row r="948">
      <c r="B948" s="41"/>
      <c r="F948" s="41"/>
    </row>
    <row r="949">
      <c r="B949" s="41"/>
      <c r="F949" s="41"/>
    </row>
    <row r="950">
      <c r="B950" s="41"/>
      <c r="F950" s="41"/>
    </row>
    <row r="951">
      <c r="B951" s="41"/>
      <c r="F951" s="41"/>
    </row>
    <row r="952">
      <c r="B952" s="41"/>
      <c r="F952" s="41"/>
    </row>
    <row r="953">
      <c r="B953" s="41"/>
      <c r="F953" s="41"/>
    </row>
    <row r="954">
      <c r="B954" s="41"/>
      <c r="F954" s="41"/>
    </row>
    <row r="955">
      <c r="B955" s="41"/>
      <c r="F955" s="41"/>
    </row>
    <row r="956">
      <c r="B956" s="41"/>
      <c r="F956" s="41"/>
    </row>
    <row r="957">
      <c r="B957" s="41"/>
      <c r="F957" s="41"/>
    </row>
    <row r="958">
      <c r="B958" s="41"/>
      <c r="F958" s="41"/>
    </row>
    <row r="959">
      <c r="B959" s="41"/>
      <c r="F959" s="41"/>
    </row>
    <row r="960">
      <c r="B960" s="41"/>
      <c r="F960" s="41"/>
    </row>
    <row r="961">
      <c r="B961" s="41"/>
      <c r="F961" s="41"/>
    </row>
    <row r="962">
      <c r="B962" s="41"/>
      <c r="F962" s="41"/>
    </row>
    <row r="963">
      <c r="B963" s="41"/>
      <c r="F963" s="41"/>
    </row>
    <row r="964">
      <c r="B964" s="41"/>
      <c r="F964" s="41"/>
    </row>
    <row r="965">
      <c r="B965" s="41"/>
      <c r="F965" s="41"/>
    </row>
    <row r="966">
      <c r="B966" s="41"/>
      <c r="F966" s="41"/>
    </row>
    <row r="967">
      <c r="B967" s="41"/>
      <c r="F967" s="41"/>
    </row>
    <row r="968">
      <c r="B968" s="41"/>
      <c r="F968" s="41"/>
    </row>
    <row r="969">
      <c r="B969" s="41"/>
      <c r="F969" s="41"/>
    </row>
    <row r="970">
      <c r="B970" s="41"/>
      <c r="F970" s="41"/>
    </row>
    <row r="971">
      <c r="B971" s="41"/>
      <c r="F971" s="41"/>
    </row>
    <row r="972">
      <c r="B972" s="41"/>
      <c r="F972" s="41"/>
    </row>
    <row r="973">
      <c r="B973" s="41"/>
      <c r="F973" s="41"/>
    </row>
    <row r="974">
      <c r="B974" s="41"/>
      <c r="F974" s="41"/>
    </row>
    <row r="975">
      <c r="B975" s="41"/>
      <c r="F975" s="41"/>
    </row>
    <row r="976">
      <c r="B976" s="41"/>
      <c r="F976" s="41"/>
    </row>
    <row r="977">
      <c r="B977" s="41"/>
      <c r="F977" s="41"/>
    </row>
    <row r="978">
      <c r="B978" s="41"/>
      <c r="F978" s="41"/>
    </row>
    <row r="979">
      <c r="B979" s="41"/>
      <c r="F979" s="41"/>
    </row>
    <row r="980">
      <c r="B980" s="41"/>
      <c r="F980" s="41"/>
    </row>
    <row r="981">
      <c r="B981" s="41"/>
      <c r="F981" s="41"/>
    </row>
    <row r="982">
      <c r="B982" s="41"/>
      <c r="F982" s="41"/>
    </row>
    <row r="983">
      <c r="B983" s="41"/>
      <c r="F983" s="41"/>
    </row>
    <row r="984">
      <c r="B984" s="41"/>
      <c r="F984" s="41"/>
    </row>
    <row r="985">
      <c r="B985" s="41"/>
      <c r="F985" s="41"/>
    </row>
    <row r="986">
      <c r="B986" s="41"/>
      <c r="F986" s="41"/>
    </row>
    <row r="987">
      <c r="B987" s="41"/>
      <c r="F987" s="41"/>
    </row>
    <row r="988">
      <c r="B988" s="41"/>
      <c r="F988" s="41"/>
    </row>
    <row r="989">
      <c r="B989" s="41"/>
      <c r="F989" s="41"/>
    </row>
    <row r="990">
      <c r="B990" s="41"/>
      <c r="F990" s="41"/>
    </row>
    <row r="991">
      <c r="B991" s="41"/>
      <c r="F991" s="41"/>
    </row>
    <row r="992">
      <c r="B992" s="41"/>
      <c r="F992" s="41"/>
    </row>
    <row r="993">
      <c r="B993" s="41"/>
      <c r="F993" s="41"/>
    </row>
    <row r="994">
      <c r="B994" s="41"/>
      <c r="F994" s="41"/>
    </row>
    <row r="995">
      <c r="B995" s="41"/>
      <c r="F995" s="41"/>
    </row>
    <row r="996">
      <c r="B996" s="41"/>
      <c r="F996" s="41"/>
    </row>
    <row r="997">
      <c r="B997" s="41"/>
      <c r="F997" s="41"/>
    </row>
    <row r="998">
      <c r="B998" s="41"/>
      <c r="F998" s="41"/>
    </row>
    <row r="999">
      <c r="B999" s="41"/>
      <c r="F999" s="41"/>
    </row>
    <row r="1000">
      <c r="B1000" s="41"/>
      <c r="F1000" s="4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8.0"/>
  </cols>
  <sheetData>
    <row r="1">
      <c r="A1" s="28" t="s">
        <v>9</v>
      </c>
      <c r="B1" s="28" t="s">
        <v>10</v>
      </c>
    </row>
    <row r="2">
      <c r="A2" s="28" t="s">
        <v>80</v>
      </c>
      <c r="B2" s="31" t="str">
        <f>"+ Milas"</f>
        <v>+ Milas</v>
      </c>
    </row>
    <row r="3">
      <c r="A3" s="28" t="s">
        <v>84</v>
      </c>
      <c r="B3" s="28" t="s">
        <v>87</v>
      </c>
    </row>
    <row r="4">
      <c r="A4" s="28" t="s">
        <v>89</v>
      </c>
      <c r="B4" s="28" t="s">
        <v>90</v>
      </c>
    </row>
    <row r="5">
      <c r="A5" s="28" t="s">
        <v>92</v>
      </c>
      <c r="B5" s="28" t="s">
        <v>94</v>
      </c>
    </row>
    <row r="6">
      <c r="A6" s="28" t="s">
        <v>96</v>
      </c>
      <c r="B6" s="28" t="s">
        <v>98</v>
      </c>
    </row>
    <row r="7">
      <c r="A7" s="28" t="s">
        <v>100</v>
      </c>
      <c r="B7" s="28" t="s">
        <v>101</v>
      </c>
    </row>
    <row r="8">
      <c r="A8" s="28" t="s">
        <v>102</v>
      </c>
      <c r="B8" s="28" t="s">
        <v>103</v>
      </c>
    </row>
    <row r="9">
      <c r="A9" s="28" t="s">
        <v>104</v>
      </c>
      <c r="B9" s="28" t="s">
        <v>105</v>
      </c>
    </row>
    <row r="10">
      <c r="A10" s="28" t="s">
        <v>106</v>
      </c>
      <c r="B10" s="28" t="s">
        <v>107</v>
      </c>
    </row>
    <row r="11">
      <c r="A11" s="28" t="s">
        <v>108</v>
      </c>
      <c r="B11" s="28" t="s">
        <v>109</v>
      </c>
    </row>
    <row r="12">
      <c r="A12" s="28" t="s">
        <v>110</v>
      </c>
      <c r="B12" s="28" t="s">
        <v>112</v>
      </c>
    </row>
    <row r="13">
      <c r="A13" s="28" t="s">
        <v>113</v>
      </c>
      <c r="B13" s="28" t="s">
        <v>114</v>
      </c>
    </row>
    <row r="14">
      <c r="A14" s="28" t="s">
        <v>115</v>
      </c>
      <c r="B14" s="28" t="s">
        <v>117</v>
      </c>
    </row>
    <row r="15">
      <c r="A15" s="28" t="s">
        <v>119</v>
      </c>
      <c r="B15" s="28" t="s">
        <v>120</v>
      </c>
    </row>
    <row r="16">
      <c r="A16" s="28" t="s">
        <v>121</v>
      </c>
      <c r="B16" s="28" t="s">
        <v>122</v>
      </c>
    </row>
    <row r="17">
      <c r="A17" s="28" t="s">
        <v>123</v>
      </c>
      <c r="B17" s="28" t="s">
        <v>124</v>
      </c>
    </row>
    <row r="18">
      <c r="A18" s="28" t="s">
        <v>125</v>
      </c>
      <c r="B18" s="28" t="s">
        <v>126</v>
      </c>
    </row>
    <row r="19">
      <c r="A19" s="28" t="s">
        <v>127</v>
      </c>
      <c r="B19" s="28" t="s">
        <v>128</v>
      </c>
    </row>
    <row r="20">
      <c r="A20" s="28" t="s">
        <v>129</v>
      </c>
      <c r="B20" s="28" t="s">
        <v>138</v>
      </c>
    </row>
    <row r="21">
      <c r="A21" s="28" t="s">
        <v>139</v>
      </c>
      <c r="B21" s="28" t="s">
        <v>141</v>
      </c>
    </row>
    <row r="22">
      <c r="A22" s="28" t="s">
        <v>142</v>
      </c>
      <c r="B22" s="28" t="s">
        <v>143</v>
      </c>
    </row>
    <row r="23">
      <c r="A23" s="28" t="s">
        <v>144</v>
      </c>
      <c r="B23" s="28" t="s">
        <v>145</v>
      </c>
    </row>
    <row r="24">
      <c r="A24" s="28" t="s">
        <v>147</v>
      </c>
      <c r="B24" s="28" t="s">
        <v>149</v>
      </c>
    </row>
    <row r="25">
      <c r="A25" s="28" t="s">
        <v>150</v>
      </c>
      <c r="B25" s="28" t="s">
        <v>151</v>
      </c>
    </row>
    <row r="26">
      <c r="A26" s="28" t="s">
        <v>154</v>
      </c>
      <c r="B26" s="28" t="s">
        <v>156</v>
      </c>
    </row>
    <row r="27">
      <c r="A27" s="28" t="s">
        <v>157</v>
      </c>
      <c r="B27" s="28" t="s">
        <v>159</v>
      </c>
    </row>
    <row r="28">
      <c r="A28" s="28" t="s">
        <v>160</v>
      </c>
      <c r="B28" s="28" t="s">
        <v>162</v>
      </c>
    </row>
    <row r="29">
      <c r="A29" s="28" t="s">
        <v>163</v>
      </c>
      <c r="B29" s="28" t="s">
        <v>164</v>
      </c>
    </row>
    <row r="30">
      <c r="A30" s="28" t="s">
        <v>165</v>
      </c>
      <c r="B30" s="28" t="s">
        <v>166</v>
      </c>
    </row>
    <row r="31">
      <c r="A31" s="28" t="s">
        <v>167</v>
      </c>
      <c r="B31" s="28" t="s">
        <v>168</v>
      </c>
    </row>
    <row r="32">
      <c r="A32" s="28" t="s">
        <v>170</v>
      </c>
      <c r="B32" s="28" t="s">
        <v>171</v>
      </c>
    </row>
    <row r="33">
      <c r="A33" s="28" t="s">
        <v>173</v>
      </c>
      <c r="B33" s="28" t="s">
        <v>174</v>
      </c>
    </row>
    <row r="34">
      <c r="A34" s="28" t="s">
        <v>176</v>
      </c>
      <c r="B34" s="28" t="s">
        <v>178</v>
      </c>
    </row>
    <row r="35">
      <c r="A35" s="28" t="s">
        <v>179</v>
      </c>
      <c r="B35" s="28" t="s">
        <v>180</v>
      </c>
    </row>
    <row r="36">
      <c r="A36" s="28" t="s">
        <v>182</v>
      </c>
      <c r="B36" s="28" t="s">
        <v>183</v>
      </c>
    </row>
    <row r="37">
      <c r="A37" s="28" t="s">
        <v>184</v>
      </c>
      <c r="B37" s="28" t="s">
        <v>185</v>
      </c>
    </row>
    <row r="38">
      <c r="A38" s="28" t="s">
        <v>186</v>
      </c>
      <c r="B38" s="28" t="s">
        <v>187</v>
      </c>
    </row>
    <row r="39">
      <c r="A39" s="28" t="s">
        <v>188</v>
      </c>
      <c r="B39" s="28" t="s">
        <v>190</v>
      </c>
    </row>
    <row r="40">
      <c r="A40" s="28" t="s">
        <v>193</v>
      </c>
      <c r="B40" s="28" t="s">
        <v>195</v>
      </c>
    </row>
    <row r="41">
      <c r="A41" s="28" t="s">
        <v>197</v>
      </c>
      <c r="B41" s="28" t="s">
        <v>198</v>
      </c>
    </row>
    <row r="42">
      <c r="A42" s="28" t="s">
        <v>200</v>
      </c>
      <c r="B42" s="28" t="s">
        <v>201</v>
      </c>
    </row>
    <row r="43">
      <c r="A43" s="28" t="s">
        <v>202</v>
      </c>
      <c r="B43" s="28" t="s">
        <v>204</v>
      </c>
    </row>
    <row r="44">
      <c r="A44" s="28" t="s">
        <v>205</v>
      </c>
      <c r="B44" s="28" t="s">
        <v>206</v>
      </c>
    </row>
    <row r="45">
      <c r="A45" s="28" t="s">
        <v>207</v>
      </c>
      <c r="B45" s="28" t="s">
        <v>208</v>
      </c>
    </row>
    <row r="46">
      <c r="A46" s="28" t="s">
        <v>209</v>
      </c>
      <c r="B46" s="28" t="s">
        <v>210</v>
      </c>
    </row>
    <row r="47">
      <c r="A47" s="28" t="s">
        <v>212</v>
      </c>
      <c r="B47" s="28" t="s">
        <v>213</v>
      </c>
    </row>
    <row r="48">
      <c r="A48" s="28" t="s">
        <v>214</v>
      </c>
      <c r="B48" s="28" t="s">
        <v>215</v>
      </c>
    </row>
    <row r="49">
      <c r="A49" s="28" t="s">
        <v>216</v>
      </c>
      <c r="B49" s="28" t="s">
        <v>217</v>
      </c>
    </row>
    <row r="50">
      <c r="A50" s="28" t="s">
        <v>219</v>
      </c>
      <c r="B50" s="28" t="s">
        <v>220</v>
      </c>
    </row>
    <row r="51">
      <c r="A51" s="28" t="s">
        <v>222</v>
      </c>
      <c r="B51" s="28" t="s">
        <v>224</v>
      </c>
    </row>
    <row r="52">
      <c r="A52" s="28" t="s">
        <v>225</v>
      </c>
      <c r="B52" s="28" t="s">
        <v>226</v>
      </c>
    </row>
    <row r="53">
      <c r="A53" s="28" t="s">
        <v>229</v>
      </c>
      <c r="B53" s="28" t="s">
        <v>230</v>
      </c>
    </row>
    <row r="54">
      <c r="A54" s="28" t="s">
        <v>231</v>
      </c>
      <c r="B54" s="28" t="s">
        <v>232</v>
      </c>
    </row>
    <row r="55">
      <c r="A55" s="28" t="s">
        <v>234</v>
      </c>
      <c r="B55" s="28" t="s">
        <v>235</v>
      </c>
    </row>
    <row r="56">
      <c r="A56" s="28" t="s">
        <v>237</v>
      </c>
      <c r="B56" s="28" t="s">
        <v>238</v>
      </c>
    </row>
    <row r="57">
      <c r="A57" s="28" t="s">
        <v>239</v>
      </c>
      <c r="B57" s="28" t="s">
        <v>240</v>
      </c>
    </row>
    <row r="58">
      <c r="A58" s="28" t="s">
        <v>241</v>
      </c>
      <c r="B58" s="28" t="s">
        <v>242</v>
      </c>
    </row>
    <row r="59">
      <c r="A59" s="28" t="s">
        <v>243</v>
      </c>
      <c r="B59" s="28" t="s">
        <v>244</v>
      </c>
    </row>
    <row r="60">
      <c r="A60" s="28" t="s">
        <v>245</v>
      </c>
      <c r="B60" s="28" t="s">
        <v>246</v>
      </c>
    </row>
    <row r="61">
      <c r="A61" s="28" t="s">
        <v>247</v>
      </c>
      <c r="B61" s="28" t="s">
        <v>248</v>
      </c>
    </row>
    <row r="62">
      <c r="A62" s="28" t="s">
        <v>249</v>
      </c>
      <c r="B62" s="28" t="s">
        <v>250</v>
      </c>
    </row>
    <row r="63">
      <c r="A63" s="28" t="s">
        <v>251</v>
      </c>
      <c r="B63" s="28" t="s">
        <v>252</v>
      </c>
    </row>
    <row r="64">
      <c r="A64" s="28" t="s">
        <v>253</v>
      </c>
      <c r="B64" s="28" t="s">
        <v>254</v>
      </c>
    </row>
    <row r="65">
      <c r="A65" s="28" t="s">
        <v>256</v>
      </c>
      <c r="B65" s="28" t="s">
        <v>257</v>
      </c>
    </row>
    <row r="66">
      <c r="A66" s="28" t="s">
        <v>259</v>
      </c>
      <c r="B66" s="28" t="s">
        <v>260</v>
      </c>
    </row>
    <row r="67">
      <c r="A67" s="28" t="s">
        <v>261</v>
      </c>
      <c r="B67" s="28" t="s">
        <v>263</v>
      </c>
    </row>
    <row r="68">
      <c r="A68" s="28" t="s">
        <v>265</v>
      </c>
      <c r="B68" s="28" t="s">
        <v>268</v>
      </c>
    </row>
    <row r="69">
      <c r="A69" s="28" t="s">
        <v>269</v>
      </c>
      <c r="B69" s="28" t="s">
        <v>270</v>
      </c>
    </row>
    <row r="70">
      <c r="A70" s="28" t="s">
        <v>271</v>
      </c>
      <c r="B70" s="28" t="s">
        <v>272</v>
      </c>
    </row>
    <row r="71">
      <c r="A71" s="28" t="s">
        <v>273</v>
      </c>
      <c r="B71" s="28" t="s">
        <v>274</v>
      </c>
    </row>
    <row r="72">
      <c r="A72" s="28" t="s">
        <v>275</v>
      </c>
      <c r="B72" s="28" t="s">
        <v>276</v>
      </c>
    </row>
    <row r="73">
      <c r="A73" s="28" t="s">
        <v>277</v>
      </c>
      <c r="B73" s="28" t="s">
        <v>278</v>
      </c>
    </row>
    <row r="74">
      <c r="A74" s="28" t="s">
        <v>279</v>
      </c>
      <c r="B74" s="28" t="s">
        <v>280</v>
      </c>
    </row>
    <row r="75">
      <c r="A75" s="28" t="s">
        <v>282</v>
      </c>
      <c r="B75" s="28" t="s">
        <v>284</v>
      </c>
    </row>
    <row r="76">
      <c r="A76" s="28" t="s">
        <v>286</v>
      </c>
      <c r="B76" s="28" t="s">
        <v>288</v>
      </c>
    </row>
    <row r="77">
      <c r="A77" s="28" t="s">
        <v>289</v>
      </c>
      <c r="B77" s="28" t="s">
        <v>290</v>
      </c>
    </row>
    <row r="78">
      <c r="A78" s="28" t="s">
        <v>291</v>
      </c>
      <c r="B78" s="28" t="s">
        <v>292</v>
      </c>
    </row>
    <row r="79">
      <c r="A79" s="28" t="s">
        <v>293</v>
      </c>
      <c r="B79" s="28" t="s">
        <v>294</v>
      </c>
    </row>
    <row r="80">
      <c r="A80" s="28" t="s">
        <v>295</v>
      </c>
      <c r="B80" s="28" t="s">
        <v>297</v>
      </c>
    </row>
    <row r="81">
      <c r="A81" s="28" t="s">
        <v>298</v>
      </c>
      <c r="B81" s="28" t="s">
        <v>299</v>
      </c>
    </row>
    <row r="82">
      <c r="A82" s="28" t="s">
        <v>300</v>
      </c>
      <c r="B82" s="28" t="s">
        <v>301</v>
      </c>
    </row>
    <row r="83">
      <c r="A83" s="28" t="s">
        <v>302</v>
      </c>
      <c r="B83" s="28" t="s">
        <v>303</v>
      </c>
    </row>
    <row r="84">
      <c r="A84" s="28" t="s">
        <v>306</v>
      </c>
      <c r="B84" s="28" t="s">
        <v>308</v>
      </c>
    </row>
    <row r="85">
      <c r="A85" s="28" t="s">
        <v>309</v>
      </c>
      <c r="B85" s="28" t="s">
        <v>311</v>
      </c>
    </row>
    <row r="86">
      <c r="A86" s="28" t="s">
        <v>312</v>
      </c>
      <c r="B86" s="28" t="s">
        <v>313</v>
      </c>
    </row>
    <row r="87">
      <c r="A87" s="28" t="s">
        <v>314</v>
      </c>
      <c r="B87" s="28" t="s">
        <v>315</v>
      </c>
    </row>
    <row r="88">
      <c r="A88" s="28" t="s">
        <v>316</v>
      </c>
      <c r="B88" s="28" t="s">
        <v>318</v>
      </c>
    </row>
    <row r="89">
      <c r="A89" s="28" t="s">
        <v>319</v>
      </c>
      <c r="B89" s="28" t="s">
        <v>320</v>
      </c>
    </row>
    <row r="90">
      <c r="A90" s="28" t="s">
        <v>321</v>
      </c>
      <c r="B90" s="28" t="s">
        <v>322</v>
      </c>
    </row>
    <row r="91">
      <c r="A91" s="28" t="s">
        <v>324</v>
      </c>
      <c r="B91" s="28" t="s">
        <v>327</v>
      </c>
    </row>
    <row r="92">
      <c r="A92" s="28" t="s">
        <v>328</v>
      </c>
      <c r="B92" s="28" t="s">
        <v>329</v>
      </c>
    </row>
    <row r="93">
      <c r="A93" s="28" t="s">
        <v>331</v>
      </c>
      <c r="B93" s="28" t="s">
        <v>332</v>
      </c>
    </row>
    <row r="94">
      <c r="A94" s="28" t="s">
        <v>334</v>
      </c>
      <c r="B94" s="28" t="s">
        <v>335</v>
      </c>
    </row>
    <row r="95">
      <c r="A95" s="28" t="s">
        <v>336</v>
      </c>
      <c r="B95" s="28" t="s">
        <v>337</v>
      </c>
    </row>
    <row r="96">
      <c r="A96" s="28" t="s">
        <v>338</v>
      </c>
      <c r="B96" s="28" t="s">
        <v>339</v>
      </c>
    </row>
    <row r="97">
      <c r="A97" s="28" t="s">
        <v>340</v>
      </c>
      <c r="B97" s="28" t="s">
        <v>341</v>
      </c>
    </row>
    <row r="98">
      <c r="A98" s="28" t="s">
        <v>342</v>
      </c>
      <c r="B98" s="28" t="s">
        <v>343</v>
      </c>
    </row>
    <row r="99">
      <c r="A99" s="28" t="s">
        <v>344</v>
      </c>
      <c r="B99" s="28" t="s">
        <v>345</v>
      </c>
    </row>
    <row r="100">
      <c r="A100" s="28" t="s">
        <v>346</v>
      </c>
      <c r="B100" s="28" t="s">
        <v>347</v>
      </c>
    </row>
    <row r="101">
      <c r="A101" s="28" t="s">
        <v>349</v>
      </c>
      <c r="B101" s="28" t="s">
        <v>350</v>
      </c>
    </row>
    <row r="102">
      <c r="A102" s="28" t="s">
        <v>352</v>
      </c>
      <c r="B102" s="28" t="s">
        <v>353</v>
      </c>
    </row>
    <row r="103">
      <c r="A103" s="28" t="s">
        <v>354</v>
      </c>
      <c r="B103" s="28" t="s">
        <v>356</v>
      </c>
    </row>
    <row r="104">
      <c r="A104" s="28" t="s">
        <v>357</v>
      </c>
      <c r="B104" s="28" t="s">
        <v>358</v>
      </c>
    </row>
    <row r="105">
      <c r="A105" s="28" t="s">
        <v>360</v>
      </c>
      <c r="B105" s="28" t="s">
        <v>361</v>
      </c>
    </row>
    <row r="106">
      <c r="A106" s="28" t="s">
        <v>362</v>
      </c>
      <c r="B106" s="28" t="s">
        <v>363</v>
      </c>
    </row>
    <row r="107">
      <c r="A107" s="28" t="s">
        <v>364</v>
      </c>
      <c r="B107" s="28" t="s">
        <v>367</v>
      </c>
    </row>
    <row r="108">
      <c r="A108" s="28" t="s">
        <v>368</v>
      </c>
      <c r="B108" s="28" t="s">
        <v>370</v>
      </c>
    </row>
    <row r="109">
      <c r="A109" s="28" t="s">
        <v>372</v>
      </c>
      <c r="B109" s="28" t="s">
        <v>373</v>
      </c>
    </row>
    <row r="110">
      <c r="A110" s="28" t="s">
        <v>374</v>
      </c>
      <c r="B110" s="28" t="s">
        <v>375</v>
      </c>
    </row>
    <row r="111">
      <c r="A111" s="28" t="s">
        <v>376</v>
      </c>
      <c r="B111" s="28" t="s">
        <v>377</v>
      </c>
    </row>
    <row r="112">
      <c r="A112" s="28" t="s">
        <v>379</v>
      </c>
      <c r="B112" s="28" t="s">
        <v>380</v>
      </c>
    </row>
    <row r="113">
      <c r="A113" s="28" t="s">
        <v>381</v>
      </c>
      <c r="B113" s="28" t="s">
        <v>382</v>
      </c>
    </row>
    <row r="114">
      <c r="A114" s="28" t="s">
        <v>383</v>
      </c>
      <c r="B114" s="28" t="s">
        <v>385</v>
      </c>
    </row>
    <row r="115">
      <c r="A115" s="28" t="s">
        <v>387</v>
      </c>
      <c r="B115" s="28" t="s">
        <v>388</v>
      </c>
    </row>
    <row r="116">
      <c r="A116" s="28" t="s">
        <v>389</v>
      </c>
      <c r="B116" s="28" t="s">
        <v>390</v>
      </c>
    </row>
    <row r="117">
      <c r="A117" s="28" t="s">
        <v>391</v>
      </c>
      <c r="B117" s="28" t="s">
        <v>392</v>
      </c>
    </row>
    <row r="118">
      <c r="A118" s="28" t="s">
        <v>393</v>
      </c>
      <c r="B118" s="28" t="s">
        <v>395</v>
      </c>
    </row>
    <row r="119">
      <c r="A119" s="28" t="s">
        <v>396</v>
      </c>
      <c r="B119" s="28" t="s">
        <v>397</v>
      </c>
    </row>
    <row r="120">
      <c r="A120" s="28" t="s">
        <v>398</v>
      </c>
      <c r="B120" s="28" t="s">
        <v>399</v>
      </c>
    </row>
    <row r="121">
      <c r="A121" s="28" t="s">
        <v>401</v>
      </c>
      <c r="B121" s="28" t="s">
        <v>402</v>
      </c>
    </row>
    <row r="122">
      <c r="A122" s="28" t="s">
        <v>403</v>
      </c>
      <c r="B122" s="28" t="s">
        <v>405</v>
      </c>
    </row>
    <row r="123">
      <c r="A123" s="28" t="s">
        <v>406</v>
      </c>
      <c r="B123" s="28" t="s">
        <v>408</v>
      </c>
    </row>
    <row r="124">
      <c r="A124" s="28" t="s">
        <v>410</v>
      </c>
      <c r="B124" s="28" t="s">
        <v>411</v>
      </c>
    </row>
    <row r="125">
      <c r="A125" s="28" t="s">
        <v>412</v>
      </c>
      <c r="B125" s="28" t="s">
        <v>413</v>
      </c>
    </row>
    <row r="126">
      <c r="A126" s="28" t="s">
        <v>414</v>
      </c>
      <c r="B126" s="28" t="s">
        <v>415</v>
      </c>
    </row>
    <row r="127">
      <c r="A127" s="28" t="s">
        <v>416</v>
      </c>
      <c r="B127" s="28" t="s">
        <v>417</v>
      </c>
    </row>
    <row r="128">
      <c r="A128" s="28" t="s">
        <v>418</v>
      </c>
      <c r="B128" s="28" t="s">
        <v>419</v>
      </c>
    </row>
    <row r="129">
      <c r="A129" s="28" t="s">
        <v>420</v>
      </c>
      <c r="B129" s="28" t="s">
        <v>421</v>
      </c>
    </row>
    <row r="130">
      <c r="A130" s="28" t="s">
        <v>422</v>
      </c>
      <c r="B130" s="28" t="s">
        <v>423</v>
      </c>
    </row>
    <row r="131">
      <c r="A131" s="28" t="s">
        <v>424</v>
      </c>
      <c r="B131" s="28" t="s">
        <v>425</v>
      </c>
    </row>
    <row r="132">
      <c r="A132" s="28" t="s">
        <v>426</v>
      </c>
      <c r="B132" s="28" t="s">
        <v>427</v>
      </c>
    </row>
    <row r="133">
      <c r="A133" s="28" t="s">
        <v>429</v>
      </c>
      <c r="B133" s="28" t="s">
        <v>431</v>
      </c>
    </row>
    <row r="134">
      <c r="A134" s="28" t="s">
        <v>433</v>
      </c>
      <c r="B134" s="28" t="s">
        <v>434</v>
      </c>
    </row>
    <row r="135">
      <c r="A135" s="28" t="s">
        <v>436</v>
      </c>
      <c r="B135" s="28" t="s">
        <v>438</v>
      </c>
    </row>
    <row r="136">
      <c r="A136" s="28" t="s">
        <v>439</v>
      </c>
      <c r="B136" s="28" t="s">
        <v>440</v>
      </c>
    </row>
    <row r="137">
      <c r="A137" s="28" t="s">
        <v>441</v>
      </c>
      <c r="B137" s="28" t="s">
        <v>442</v>
      </c>
    </row>
    <row r="138">
      <c r="A138" s="28" t="s">
        <v>443</v>
      </c>
      <c r="B138" s="28" t="s">
        <v>444</v>
      </c>
    </row>
    <row r="139">
      <c r="A139" s="28" t="s">
        <v>445</v>
      </c>
      <c r="B139" s="28" t="s">
        <v>446</v>
      </c>
    </row>
    <row r="140">
      <c r="A140" s="28" t="s">
        <v>448</v>
      </c>
      <c r="B140" s="28" t="s">
        <v>449</v>
      </c>
    </row>
    <row r="141">
      <c r="A141" s="28" t="s">
        <v>452</v>
      </c>
      <c r="B141" s="28" t="s">
        <v>453</v>
      </c>
    </row>
    <row r="142">
      <c r="A142" s="28" t="s">
        <v>454</v>
      </c>
      <c r="B142" s="28" t="s">
        <v>455</v>
      </c>
    </row>
    <row r="143">
      <c r="A143" s="28" t="s">
        <v>456</v>
      </c>
      <c r="B143" s="28" t="s">
        <v>458</v>
      </c>
    </row>
    <row r="144">
      <c r="A144" s="28" t="s">
        <v>459</v>
      </c>
      <c r="B144" s="28" t="s">
        <v>460</v>
      </c>
    </row>
    <row r="145">
      <c r="A145" s="28" t="s">
        <v>461</v>
      </c>
      <c r="B145" s="28" t="s">
        <v>158</v>
      </c>
    </row>
    <row r="146">
      <c r="A146" s="28" t="s">
        <v>462</v>
      </c>
      <c r="B146" s="28" t="s">
        <v>464</v>
      </c>
    </row>
    <row r="147">
      <c r="A147" s="28" t="s">
        <v>466</v>
      </c>
      <c r="B147" s="28" t="s">
        <v>468</v>
      </c>
    </row>
    <row r="148">
      <c r="A148" s="28" t="s">
        <v>471</v>
      </c>
      <c r="B148" s="28" t="s">
        <v>472</v>
      </c>
    </row>
    <row r="149">
      <c r="A149" s="28" t="s">
        <v>473</v>
      </c>
      <c r="B149" s="28" t="s">
        <v>474</v>
      </c>
    </row>
    <row r="150">
      <c r="A150" s="28" t="s">
        <v>475</v>
      </c>
      <c r="B150" s="28" t="s">
        <v>476</v>
      </c>
    </row>
    <row r="151">
      <c r="A151" s="28" t="s">
        <v>477</v>
      </c>
      <c r="B151" s="28" t="s">
        <v>478</v>
      </c>
    </row>
    <row r="152">
      <c r="A152" s="28" t="s">
        <v>480</v>
      </c>
      <c r="B152" s="28" t="s">
        <v>482</v>
      </c>
    </row>
    <row r="153">
      <c r="A153" s="28" t="s">
        <v>484</v>
      </c>
      <c r="B153" s="28" t="s">
        <v>485</v>
      </c>
    </row>
    <row r="154">
      <c r="A154" s="28" t="s">
        <v>487</v>
      </c>
      <c r="B154" s="28" t="s">
        <v>488</v>
      </c>
    </row>
    <row r="155">
      <c r="A155" s="28" t="s">
        <v>489</v>
      </c>
      <c r="B155" s="28" t="s">
        <v>490</v>
      </c>
    </row>
    <row r="156">
      <c r="A156" s="28" t="s">
        <v>491</v>
      </c>
      <c r="B156" s="28" t="s">
        <v>492</v>
      </c>
    </row>
    <row r="157">
      <c r="A157" s="28" t="s">
        <v>493</v>
      </c>
      <c r="B157" s="28" t="s">
        <v>494</v>
      </c>
    </row>
    <row r="158">
      <c r="A158" s="28" t="s">
        <v>496</v>
      </c>
      <c r="B158" s="28" t="s">
        <v>499</v>
      </c>
    </row>
    <row r="159">
      <c r="A159" s="28" t="s">
        <v>500</v>
      </c>
      <c r="B159" s="28" t="s">
        <v>501</v>
      </c>
    </row>
    <row r="160">
      <c r="A160" s="28" t="s">
        <v>502</v>
      </c>
      <c r="B160" s="28" t="s">
        <v>503</v>
      </c>
    </row>
    <row r="161">
      <c r="A161" s="28" t="s">
        <v>504</v>
      </c>
      <c r="B161" s="28" t="s">
        <v>505</v>
      </c>
    </row>
    <row r="162">
      <c r="A162" s="28" t="s">
        <v>507</v>
      </c>
      <c r="B162" s="28" t="s">
        <v>508</v>
      </c>
    </row>
    <row r="163">
      <c r="A163" s="28" t="s">
        <v>509</v>
      </c>
      <c r="B163" s="28" t="s">
        <v>510</v>
      </c>
    </row>
    <row r="164">
      <c r="A164" s="28" t="s">
        <v>512</v>
      </c>
      <c r="B164" s="28" t="s">
        <v>514</v>
      </c>
    </row>
    <row r="165">
      <c r="A165" s="28" t="s">
        <v>516</v>
      </c>
      <c r="B165" s="28" t="s">
        <v>517</v>
      </c>
    </row>
    <row r="166">
      <c r="A166" s="28" t="s">
        <v>518</v>
      </c>
      <c r="B166" s="28" t="s">
        <v>519</v>
      </c>
    </row>
    <row r="167">
      <c r="A167" s="28" t="s">
        <v>520</v>
      </c>
      <c r="B167" s="28" t="s">
        <v>522</v>
      </c>
    </row>
    <row r="168">
      <c r="A168" s="28" t="s">
        <v>523</v>
      </c>
      <c r="B168" s="28" t="s">
        <v>524</v>
      </c>
    </row>
    <row r="169">
      <c r="A169" s="28" t="s">
        <v>526</v>
      </c>
      <c r="B169" s="28" t="s">
        <v>527</v>
      </c>
    </row>
    <row r="170">
      <c r="A170" s="28" t="s">
        <v>529</v>
      </c>
      <c r="B170" s="28" t="s">
        <v>531</v>
      </c>
    </row>
    <row r="171">
      <c r="A171" s="28" t="s">
        <v>532</v>
      </c>
      <c r="B171" s="28" t="s">
        <v>533</v>
      </c>
    </row>
    <row r="172">
      <c r="A172" s="28" t="s">
        <v>534</v>
      </c>
      <c r="B172" s="28" t="s">
        <v>535</v>
      </c>
    </row>
    <row r="173">
      <c r="A173" s="28" t="s">
        <v>536</v>
      </c>
      <c r="B173" s="28" t="s">
        <v>538</v>
      </c>
    </row>
    <row r="174">
      <c r="A174" s="28" t="s">
        <v>539</v>
      </c>
      <c r="B174" s="28" t="s">
        <v>540</v>
      </c>
    </row>
    <row r="175">
      <c r="A175" s="28" t="s">
        <v>542</v>
      </c>
      <c r="B175" s="28" t="s">
        <v>543</v>
      </c>
    </row>
    <row r="176">
      <c r="A176" s="28" t="s">
        <v>545</v>
      </c>
      <c r="B176" s="28" t="s">
        <v>546</v>
      </c>
    </row>
    <row r="177">
      <c r="A177" s="28" t="s">
        <v>547</v>
      </c>
      <c r="B177" s="28" t="s">
        <v>549</v>
      </c>
    </row>
    <row r="178">
      <c r="A178" s="28" t="s">
        <v>550</v>
      </c>
      <c r="B178" s="28" t="s">
        <v>552</v>
      </c>
    </row>
    <row r="179">
      <c r="A179" s="28" t="s">
        <v>553</v>
      </c>
      <c r="B179" s="28" t="s">
        <v>554</v>
      </c>
    </row>
    <row r="180">
      <c r="A180" s="28" t="s">
        <v>556</v>
      </c>
      <c r="B180" s="28" t="s">
        <v>557</v>
      </c>
    </row>
    <row r="181">
      <c r="A181" s="28" t="s">
        <v>558</v>
      </c>
      <c r="B181" s="28" t="s">
        <v>559</v>
      </c>
    </row>
    <row r="182">
      <c r="A182" s="28" t="s">
        <v>560</v>
      </c>
      <c r="B182" s="28" t="s">
        <v>561</v>
      </c>
    </row>
    <row r="183">
      <c r="A183" s="28" t="s">
        <v>564</v>
      </c>
      <c r="B183" s="28" t="s">
        <v>565</v>
      </c>
    </row>
    <row r="184">
      <c r="A184" s="28" t="s">
        <v>566</v>
      </c>
      <c r="B184" s="28" t="s">
        <v>567</v>
      </c>
    </row>
    <row r="185">
      <c r="A185" s="28" t="s">
        <v>568</v>
      </c>
      <c r="B185" s="28" t="s">
        <v>569</v>
      </c>
    </row>
    <row r="186">
      <c r="A186" s="28" t="s">
        <v>570</v>
      </c>
      <c r="B186" s="28" t="s">
        <v>571</v>
      </c>
    </row>
    <row r="187">
      <c r="A187" s="28" t="s">
        <v>572</v>
      </c>
      <c r="B187" s="28" t="s">
        <v>574</v>
      </c>
    </row>
    <row r="188">
      <c r="A188" s="28" t="s">
        <v>575</v>
      </c>
      <c r="B188" s="28" t="s">
        <v>576</v>
      </c>
    </row>
    <row r="189">
      <c r="A189" s="28" t="s">
        <v>577</v>
      </c>
      <c r="B189" s="28" t="s">
        <v>578</v>
      </c>
    </row>
    <row r="190">
      <c r="A190" s="28" t="s">
        <v>579</v>
      </c>
      <c r="B190" s="28" t="s">
        <v>52</v>
      </c>
    </row>
    <row r="191">
      <c r="A191" s="28" t="s">
        <v>582</v>
      </c>
      <c r="B191" s="28" t="s">
        <v>583</v>
      </c>
    </row>
    <row r="192">
      <c r="A192" s="28" t="s">
        <v>584</v>
      </c>
      <c r="B192" s="28" t="s">
        <v>585</v>
      </c>
    </row>
    <row r="193">
      <c r="A193" s="28" t="s">
        <v>586</v>
      </c>
      <c r="B193" s="28" t="s">
        <v>587</v>
      </c>
    </row>
    <row r="194">
      <c r="A194" s="28" t="s">
        <v>588</v>
      </c>
      <c r="B194" s="28" t="s">
        <v>589</v>
      </c>
    </row>
    <row r="195">
      <c r="A195" s="28" t="s">
        <v>590</v>
      </c>
      <c r="B195" s="28" t="s">
        <v>591</v>
      </c>
    </row>
    <row r="196">
      <c r="A196" s="28" t="s">
        <v>592</v>
      </c>
      <c r="B196" s="28" t="s">
        <v>593</v>
      </c>
    </row>
    <row r="197">
      <c r="A197" s="28" t="s">
        <v>594</v>
      </c>
      <c r="B197" s="28" t="s">
        <v>595</v>
      </c>
    </row>
    <row r="198">
      <c r="A198" s="28" t="s">
        <v>596</v>
      </c>
      <c r="B198" s="28" t="s">
        <v>597</v>
      </c>
    </row>
    <row r="199">
      <c r="A199" s="28" t="s">
        <v>598</v>
      </c>
      <c r="B199" s="28" t="s">
        <v>599</v>
      </c>
    </row>
    <row r="200">
      <c r="A200" s="28" t="s">
        <v>602</v>
      </c>
      <c r="B200" s="28" t="s">
        <v>604</v>
      </c>
    </row>
    <row r="201">
      <c r="A201" s="28" t="s">
        <v>605</v>
      </c>
      <c r="B201" s="28" t="s">
        <v>606</v>
      </c>
    </row>
    <row r="202">
      <c r="A202" s="28" t="s">
        <v>609</v>
      </c>
      <c r="B202" s="28" t="s">
        <v>610</v>
      </c>
    </row>
    <row r="203">
      <c r="A203" s="28" t="s">
        <v>611</v>
      </c>
      <c r="B203" s="28" t="s">
        <v>612</v>
      </c>
    </row>
    <row r="204">
      <c r="A204" s="28" t="s">
        <v>613</v>
      </c>
      <c r="B204" s="28" t="s">
        <v>614</v>
      </c>
    </row>
    <row r="205">
      <c r="A205" s="28" t="s">
        <v>615</v>
      </c>
      <c r="B205" s="28" t="s">
        <v>618</v>
      </c>
    </row>
    <row r="206">
      <c r="A206" s="28" t="s">
        <v>619</v>
      </c>
      <c r="B206" s="28" t="s">
        <v>620</v>
      </c>
    </row>
    <row r="207">
      <c r="A207" s="28" t="s">
        <v>621</v>
      </c>
      <c r="B207" s="28" t="s">
        <v>622</v>
      </c>
    </row>
    <row r="208">
      <c r="A208" s="28" t="s">
        <v>623</v>
      </c>
      <c r="B208" s="28" t="s">
        <v>624</v>
      </c>
    </row>
    <row r="209">
      <c r="A209" s="28" t="s">
        <v>625</v>
      </c>
      <c r="B209" s="28" t="s">
        <v>626</v>
      </c>
    </row>
    <row r="210">
      <c r="A210" s="28" t="s">
        <v>627</v>
      </c>
      <c r="B210" s="28" t="s">
        <v>628</v>
      </c>
    </row>
    <row r="211">
      <c r="A211" s="28" t="s">
        <v>630</v>
      </c>
      <c r="B211" s="28" t="s">
        <v>631</v>
      </c>
    </row>
    <row r="212">
      <c r="A212" s="28" t="s">
        <v>632</v>
      </c>
      <c r="B212" s="28" t="s">
        <v>634</v>
      </c>
    </row>
    <row r="213">
      <c r="A213" s="28" t="s">
        <v>638</v>
      </c>
      <c r="B213" s="28" t="s">
        <v>639</v>
      </c>
    </row>
    <row r="214">
      <c r="A214" s="28" t="s">
        <v>640</v>
      </c>
      <c r="B214" s="28" t="s">
        <v>641</v>
      </c>
    </row>
    <row r="215">
      <c r="A215" s="28" t="s">
        <v>642</v>
      </c>
      <c r="B215" s="28" t="s">
        <v>643</v>
      </c>
    </row>
    <row r="216">
      <c r="A216" s="28" t="s">
        <v>644</v>
      </c>
      <c r="B216" s="28" t="s">
        <v>463</v>
      </c>
    </row>
    <row r="217">
      <c r="A217" s="28" t="s">
        <v>645</v>
      </c>
      <c r="B217" s="28" t="s">
        <v>646</v>
      </c>
    </row>
    <row r="218">
      <c r="A218" s="28" t="s">
        <v>647</v>
      </c>
      <c r="B218" s="28" t="s">
        <v>648</v>
      </c>
    </row>
    <row r="219">
      <c r="A219" s="28" t="s">
        <v>650</v>
      </c>
      <c r="B219" s="28" t="s">
        <v>651</v>
      </c>
    </row>
    <row r="220">
      <c r="A220" s="28" t="s">
        <v>653</v>
      </c>
      <c r="B220" s="28" t="s">
        <v>654</v>
      </c>
    </row>
    <row r="221">
      <c r="A221" s="28" t="s">
        <v>655</v>
      </c>
      <c r="B221" s="28" t="s">
        <v>656</v>
      </c>
    </row>
    <row r="222">
      <c r="A222" s="28" t="s">
        <v>657</v>
      </c>
      <c r="B222" s="28" t="s">
        <v>659</v>
      </c>
    </row>
    <row r="223">
      <c r="A223" s="28" t="s">
        <v>660</v>
      </c>
      <c r="B223" s="28" t="s">
        <v>661</v>
      </c>
    </row>
    <row r="224">
      <c r="A224" s="28" t="s">
        <v>662</v>
      </c>
      <c r="B224" s="28" t="s">
        <v>664</v>
      </c>
    </row>
    <row r="225">
      <c r="A225" s="28" t="s">
        <v>667</v>
      </c>
      <c r="B225" s="28" t="s">
        <v>668</v>
      </c>
    </row>
    <row r="226">
      <c r="A226" s="28" t="s">
        <v>670</v>
      </c>
      <c r="B226" s="28" t="s">
        <v>671</v>
      </c>
    </row>
    <row r="227">
      <c r="A227" s="28" t="s">
        <v>672</v>
      </c>
      <c r="B227" s="28" t="s">
        <v>673</v>
      </c>
    </row>
    <row r="228">
      <c r="A228" s="28" t="s">
        <v>674</v>
      </c>
      <c r="B228" s="28" t="s">
        <v>675</v>
      </c>
    </row>
    <row r="229">
      <c r="A229" s="28" t="s">
        <v>676</v>
      </c>
      <c r="B229" s="28" t="s">
        <v>57</v>
      </c>
    </row>
    <row r="230">
      <c r="A230" s="28" t="s">
        <v>677</v>
      </c>
      <c r="B230" s="28" t="s">
        <v>678</v>
      </c>
    </row>
    <row r="231">
      <c r="A231" s="28" t="s">
        <v>679</v>
      </c>
      <c r="B231" s="28" t="s">
        <v>680</v>
      </c>
    </row>
    <row r="232">
      <c r="A232" s="28" t="s">
        <v>681</v>
      </c>
      <c r="B232" s="28" t="s">
        <v>682</v>
      </c>
    </row>
    <row r="233">
      <c r="A233" s="28" t="s">
        <v>683</v>
      </c>
      <c r="B233" s="28" t="s">
        <v>684</v>
      </c>
    </row>
    <row r="234">
      <c r="A234" s="28" t="s">
        <v>685</v>
      </c>
      <c r="B234" s="28" t="s">
        <v>686</v>
      </c>
    </row>
    <row r="235">
      <c r="A235" s="28" t="s">
        <v>687</v>
      </c>
      <c r="B235" s="28" t="s">
        <v>690</v>
      </c>
    </row>
    <row r="236">
      <c r="A236" s="28" t="s">
        <v>692</v>
      </c>
      <c r="B236" s="28" t="s">
        <v>693</v>
      </c>
    </row>
    <row r="237">
      <c r="A237" s="28" t="s">
        <v>695</v>
      </c>
      <c r="B237" s="28" t="s">
        <v>696</v>
      </c>
    </row>
    <row r="238">
      <c r="A238" s="28" t="s">
        <v>697</v>
      </c>
      <c r="B238" s="28" t="s">
        <v>698</v>
      </c>
    </row>
    <row r="239">
      <c r="A239" s="28" t="s">
        <v>699</v>
      </c>
      <c r="B239" s="28" t="s">
        <v>701</v>
      </c>
    </row>
    <row r="240">
      <c r="A240" s="28" t="s">
        <v>702</v>
      </c>
      <c r="B240" s="28" t="s">
        <v>703</v>
      </c>
    </row>
    <row r="241">
      <c r="A241" s="28" t="s">
        <v>705</v>
      </c>
      <c r="B241" s="28" t="s">
        <v>706</v>
      </c>
    </row>
    <row r="242">
      <c r="A242" s="28" t="s">
        <v>708</v>
      </c>
      <c r="B242" s="28" t="s">
        <v>710</v>
      </c>
    </row>
    <row r="243">
      <c r="A243" s="28" t="s">
        <v>711</v>
      </c>
      <c r="B243" s="28" t="s">
        <v>712</v>
      </c>
    </row>
    <row r="244">
      <c r="A244" s="28" t="s">
        <v>713</v>
      </c>
      <c r="B244" s="28" t="s">
        <v>714</v>
      </c>
    </row>
    <row r="245">
      <c r="A245" s="28" t="s">
        <v>716</v>
      </c>
      <c r="B245" s="28" t="s">
        <v>717</v>
      </c>
    </row>
    <row r="246">
      <c r="A246" s="28" t="s">
        <v>718</v>
      </c>
      <c r="B246" s="28" t="s">
        <v>719</v>
      </c>
    </row>
    <row r="247">
      <c r="A247" s="28" t="s">
        <v>720</v>
      </c>
      <c r="B247" s="28" t="s">
        <v>721</v>
      </c>
    </row>
    <row r="248">
      <c r="A248" s="28" t="s">
        <v>722</v>
      </c>
      <c r="B248" s="28" t="s">
        <v>724</v>
      </c>
    </row>
    <row r="249">
      <c r="A249" s="28" t="s">
        <v>725</v>
      </c>
      <c r="B249" s="28" t="s">
        <v>726</v>
      </c>
    </row>
    <row r="250">
      <c r="A250" s="28" t="s">
        <v>727</v>
      </c>
      <c r="B250" s="28" t="s">
        <v>728</v>
      </c>
    </row>
    <row r="251">
      <c r="A251" s="28" t="s">
        <v>729</v>
      </c>
      <c r="B251" s="28" t="s">
        <v>731</v>
      </c>
    </row>
    <row r="252">
      <c r="A252" s="28" t="s">
        <v>732</v>
      </c>
      <c r="B252" s="28" t="s">
        <v>734</v>
      </c>
    </row>
    <row r="253">
      <c r="A253" s="28" t="s">
        <v>735</v>
      </c>
      <c r="B253" s="28" t="s">
        <v>736</v>
      </c>
    </row>
    <row r="254">
      <c r="A254" s="28" t="s">
        <v>737</v>
      </c>
      <c r="B254" s="28" t="s">
        <v>738</v>
      </c>
    </row>
    <row r="255">
      <c r="A255" s="28" t="s">
        <v>739</v>
      </c>
      <c r="B255" s="28" t="s">
        <v>740</v>
      </c>
    </row>
    <row r="256">
      <c r="A256" s="28" t="s">
        <v>741</v>
      </c>
      <c r="B256" s="28" t="s">
        <v>742</v>
      </c>
    </row>
    <row r="257">
      <c r="A257" s="28" t="s">
        <v>743</v>
      </c>
      <c r="B257" s="28" t="s">
        <v>744</v>
      </c>
    </row>
    <row r="258">
      <c r="A258" s="28" t="s">
        <v>745</v>
      </c>
      <c r="B258" s="28" t="s">
        <v>746</v>
      </c>
    </row>
    <row r="259">
      <c r="A259" s="28" t="s">
        <v>747</v>
      </c>
      <c r="B259" s="28" t="s">
        <v>748</v>
      </c>
    </row>
    <row r="260">
      <c r="A260" s="28" t="s">
        <v>750</v>
      </c>
      <c r="B260" s="28" t="s">
        <v>751</v>
      </c>
    </row>
    <row r="261">
      <c r="A261" s="28" t="s">
        <v>752</v>
      </c>
      <c r="B261" s="28" t="s">
        <v>753</v>
      </c>
    </row>
    <row r="262">
      <c r="A262" s="28" t="s">
        <v>754</v>
      </c>
      <c r="B262" s="28" t="s">
        <v>756</v>
      </c>
    </row>
    <row r="263">
      <c r="A263" s="28" t="s">
        <v>757</v>
      </c>
      <c r="B263" s="28" t="s">
        <v>759</v>
      </c>
    </row>
    <row r="264">
      <c r="A264" s="28" t="s">
        <v>760</v>
      </c>
      <c r="B264" s="28" t="s">
        <v>762</v>
      </c>
    </row>
    <row r="265">
      <c r="A265" s="28" t="s">
        <v>763</v>
      </c>
      <c r="B265" s="28" t="s">
        <v>764</v>
      </c>
    </row>
    <row r="266">
      <c r="A266" s="28" t="s">
        <v>765</v>
      </c>
      <c r="B266" s="28" t="s">
        <v>766</v>
      </c>
    </row>
    <row r="267">
      <c r="A267" s="28" t="s">
        <v>767</v>
      </c>
      <c r="B267" s="28" t="s">
        <v>768</v>
      </c>
    </row>
    <row r="268">
      <c r="A268" s="28" t="s">
        <v>770</v>
      </c>
      <c r="B268" s="28" t="s">
        <v>772</v>
      </c>
    </row>
    <row r="269">
      <c r="A269" s="28" t="s">
        <v>773</v>
      </c>
      <c r="B269" s="28" t="s">
        <v>775</v>
      </c>
    </row>
    <row r="270">
      <c r="A270" s="28" t="s">
        <v>776</v>
      </c>
      <c r="B270" s="28" t="s">
        <v>777</v>
      </c>
    </row>
    <row r="271">
      <c r="A271" s="28" t="s">
        <v>778</v>
      </c>
      <c r="B271" s="28" t="s">
        <v>779</v>
      </c>
    </row>
    <row r="272">
      <c r="A272" s="28" t="s">
        <v>780</v>
      </c>
      <c r="B272" s="28" t="s">
        <v>782</v>
      </c>
    </row>
    <row r="273">
      <c r="A273" s="28" t="s">
        <v>783</v>
      </c>
      <c r="B273" s="28" t="s">
        <v>784</v>
      </c>
    </row>
    <row r="274">
      <c r="A274" s="28" t="s">
        <v>785</v>
      </c>
      <c r="B274" s="28" t="s">
        <v>786</v>
      </c>
    </row>
    <row r="275">
      <c r="A275" s="28" t="s">
        <v>787</v>
      </c>
      <c r="B275" s="28" t="s">
        <v>788</v>
      </c>
    </row>
    <row r="276">
      <c r="A276" s="28" t="s">
        <v>789</v>
      </c>
      <c r="B276" s="28" t="s">
        <v>790</v>
      </c>
    </row>
    <row r="277">
      <c r="A277" s="28" t="s">
        <v>791</v>
      </c>
      <c r="B277" s="28" t="s">
        <v>792</v>
      </c>
    </row>
    <row r="278">
      <c r="A278" s="28" t="s">
        <v>793</v>
      </c>
      <c r="B278" s="28" t="s">
        <v>794</v>
      </c>
    </row>
    <row r="279">
      <c r="A279" s="28" t="s">
        <v>795</v>
      </c>
      <c r="B279" s="28" t="s">
        <v>797</v>
      </c>
    </row>
    <row r="280">
      <c r="A280" s="28" t="s">
        <v>798</v>
      </c>
      <c r="B280" s="28" t="s">
        <v>800</v>
      </c>
    </row>
    <row r="281">
      <c r="A281" s="28" t="s">
        <v>801</v>
      </c>
      <c r="B281" s="28" t="s">
        <v>802</v>
      </c>
    </row>
    <row r="282">
      <c r="A282" s="28" t="s">
        <v>803</v>
      </c>
      <c r="B282" s="28" t="s">
        <v>804</v>
      </c>
    </row>
    <row r="283">
      <c r="A283" s="28" t="s">
        <v>805</v>
      </c>
      <c r="B283" s="28" t="s">
        <v>806</v>
      </c>
    </row>
    <row r="284">
      <c r="A284" s="28" t="s">
        <v>807</v>
      </c>
      <c r="B284" s="28" t="s">
        <v>808</v>
      </c>
    </row>
    <row r="285">
      <c r="A285" s="28" t="s">
        <v>810</v>
      </c>
      <c r="B285" s="28" t="s">
        <v>811</v>
      </c>
    </row>
    <row r="286">
      <c r="A286" s="28" t="s">
        <v>812</v>
      </c>
      <c r="B286" s="28" t="s">
        <v>813</v>
      </c>
    </row>
    <row r="287">
      <c r="A287" s="28" t="s">
        <v>814</v>
      </c>
      <c r="B287" s="28" t="s">
        <v>815</v>
      </c>
    </row>
    <row r="288">
      <c r="A288" s="28" t="s">
        <v>816</v>
      </c>
      <c r="B288" s="28" t="s">
        <v>817</v>
      </c>
    </row>
    <row r="289">
      <c r="A289" s="28" t="s">
        <v>819</v>
      </c>
      <c r="B289" s="28" t="s">
        <v>820</v>
      </c>
    </row>
    <row r="290">
      <c r="A290" s="28" t="s">
        <v>821</v>
      </c>
      <c r="B290" s="28" t="s">
        <v>822</v>
      </c>
    </row>
    <row r="291">
      <c r="A291" s="28" t="s">
        <v>824</v>
      </c>
      <c r="B291" s="28" t="s">
        <v>825</v>
      </c>
    </row>
    <row r="292">
      <c r="A292" s="28" t="s">
        <v>827</v>
      </c>
      <c r="B292" s="28" t="s">
        <v>828</v>
      </c>
    </row>
    <row r="293">
      <c r="A293" s="28" t="s">
        <v>830</v>
      </c>
      <c r="B293" s="28" t="s">
        <v>831</v>
      </c>
    </row>
    <row r="294">
      <c r="A294" s="28" t="s">
        <v>832</v>
      </c>
      <c r="B294" s="28" t="s">
        <v>833</v>
      </c>
    </row>
    <row r="295">
      <c r="A295" s="28" t="s">
        <v>834</v>
      </c>
      <c r="B295" s="28" t="s">
        <v>835</v>
      </c>
    </row>
    <row r="296">
      <c r="A296" s="28" t="s">
        <v>836</v>
      </c>
      <c r="B296" s="28" t="s">
        <v>837</v>
      </c>
    </row>
    <row r="297">
      <c r="A297" s="28" t="s">
        <v>838</v>
      </c>
      <c r="B297" s="28" t="s">
        <v>839</v>
      </c>
    </row>
    <row r="298">
      <c r="A298" s="28" t="s">
        <v>840</v>
      </c>
      <c r="B298" s="28" t="s">
        <v>841</v>
      </c>
    </row>
    <row r="299">
      <c r="A299" s="28" t="s">
        <v>842</v>
      </c>
      <c r="B299" s="28" t="s">
        <v>843</v>
      </c>
    </row>
    <row r="300">
      <c r="A300" s="28" t="s">
        <v>844</v>
      </c>
      <c r="B300" s="28" t="s">
        <v>845</v>
      </c>
    </row>
    <row r="301">
      <c r="A301" s="28" t="s">
        <v>846</v>
      </c>
      <c r="B301" s="28" t="s">
        <v>847</v>
      </c>
    </row>
    <row r="302">
      <c r="A302" s="28" t="s">
        <v>849</v>
      </c>
      <c r="B302" s="28" t="s">
        <v>851</v>
      </c>
    </row>
    <row r="303">
      <c r="A303" s="28" t="s">
        <v>852</v>
      </c>
      <c r="B303" s="28" t="s">
        <v>853</v>
      </c>
    </row>
    <row r="304">
      <c r="A304" s="28" t="s">
        <v>854</v>
      </c>
      <c r="B304" s="28" t="s">
        <v>855</v>
      </c>
    </row>
    <row r="305">
      <c r="A305" s="28" t="s">
        <v>856</v>
      </c>
      <c r="B305" s="28" t="s">
        <v>857</v>
      </c>
    </row>
    <row r="306">
      <c r="A306" s="28" t="s">
        <v>859</v>
      </c>
      <c r="B306" s="28" t="s">
        <v>860</v>
      </c>
    </row>
    <row r="307">
      <c r="A307" s="28" t="s">
        <v>861</v>
      </c>
      <c r="B307" s="28" t="s">
        <v>862</v>
      </c>
    </row>
    <row r="308">
      <c r="A308" s="28" t="s">
        <v>863</v>
      </c>
      <c r="B308" s="28" t="s">
        <v>864</v>
      </c>
    </row>
    <row r="309">
      <c r="A309" s="28" t="s">
        <v>865</v>
      </c>
      <c r="B309" s="28" t="s">
        <v>866</v>
      </c>
    </row>
    <row r="310">
      <c r="A310" s="28" t="s">
        <v>869</v>
      </c>
      <c r="B310" s="28" t="s">
        <v>870</v>
      </c>
    </row>
    <row r="311">
      <c r="A311" s="28" t="s">
        <v>872</v>
      </c>
      <c r="B311" s="28" t="s">
        <v>875</v>
      </c>
    </row>
    <row r="312">
      <c r="A312" s="28" t="s">
        <v>876</v>
      </c>
      <c r="B312" s="28" t="s">
        <v>877</v>
      </c>
    </row>
    <row r="313">
      <c r="A313" s="28" t="s">
        <v>878</v>
      </c>
      <c r="B313" s="28" t="s">
        <v>879</v>
      </c>
    </row>
    <row r="314">
      <c r="A314" s="28" t="s">
        <v>880</v>
      </c>
      <c r="B314" s="28" t="s">
        <v>881</v>
      </c>
    </row>
    <row r="315">
      <c r="A315" s="28" t="s">
        <v>882</v>
      </c>
      <c r="B315" s="28" t="s">
        <v>883</v>
      </c>
    </row>
    <row r="316">
      <c r="A316" s="28" t="s">
        <v>884</v>
      </c>
      <c r="B316" s="28" t="s">
        <v>885</v>
      </c>
    </row>
    <row r="317">
      <c r="A317" s="28" t="s">
        <v>887</v>
      </c>
      <c r="B317" s="28" t="s">
        <v>888</v>
      </c>
    </row>
    <row r="318">
      <c r="A318" s="28" t="s">
        <v>889</v>
      </c>
      <c r="B318" s="28" t="s">
        <v>890</v>
      </c>
    </row>
    <row r="319">
      <c r="A319" s="28" t="s">
        <v>891</v>
      </c>
      <c r="B319" s="28" t="s">
        <v>892</v>
      </c>
    </row>
    <row r="320">
      <c r="A320" s="28" t="s">
        <v>893</v>
      </c>
      <c r="B320" s="28" t="s">
        <v>895</v>
      </c>
    </row>
    <row r="321">
      <c r="A321" s="28" t="s">
        <v>896</v>
      </c>
      <c r="B321" s="28" t="s">
        <v>897</v>
      </c>
    </row>
    <row r="322">
      <c r="A322" s="28" t="s">
        <v>898</v>
      </c>
      <c r="B322" s="28" t="s">
        <v>899</v>
      </c>
    </row>
    <row r="323">
      <c r="A323" s="28" t="s">
        <v>900</v>
      </c>
      <c r="B323" s="28" t="s">
        <v>901</v>
      </c>
    </row>
    <row r="324">
      <c r="A324" s="28" t="s">
        <v>902</v>
      </c>
      <c r="B324" s="28" t="s">
        <v>903</v>
      </c>
    </row>
    <row r="325">
      <c r="A325" s="28" t="s">
        <v>904</v>
      </c>
      <c r="B325" s="28" t="s">
        <v>905</v>
      </c>
    </row>
    <row r="326">
      <c r="A326" s="28" t="s">
        <v>906</v>
      </c>
      <c r="B326" s="28" t="s">
        <v>907</v>
      </c>
    </row>
    <row r="327">
      <c r="A327" s="28" t="s">
        <v>908</v>
      </c>
      <c r="B327" s="28" t="s">
        <v>909</v>
      </c>
    </row>
    <row r="328">
      <c r="A328" s="28" t="s">
        <v>910</v>
      </c>
      <c r="B328" s="28" t="s">
        <v>911</v>
      </c>
    </row>
    <row r="329">
      <c r="A329" s="28" t="s">
        <v>912</v>
      </c>
      <c r="B329" s="28" t="s">
        <v>913</v>
      </c>
    </row>
    <row r="330">
      <c r="A330" s="28" t="s">
        <v>914</v>
      </c>
      <c r="B330" s="28" t="s">
        <v>915</v>
      </c>
    </row>
    <row r="331">
      <c r="A331" s="28" t="s">
        <v>917</v>
      </c>
      <c r="B331" s="28" t="s">
        <v>919</v>
      </c>
    </row>
    <row r="332">
      <c r="A332" s="28" t="s">
        <v>921</v>
      </c>
      <c r="B332" s="28" t="s">
        <v>923</v>
      </c>
    </row>
    <row r="333">
      <c r="A333" s="28" t="s">
        <v>924</v>
      </c>
      <c r="B333" s="28" t="s">
        <v>925</v>
      </c>
    </row>
    <row r="334">
      <c r="A334" s="28" t="s">
        <v>926</v>
      </c>
      <c r="B334" s="28" t="s">
        <v>927</v>
      </c>
    </row>
    <row r="335">
      <c r="A335" s="28" t="s">
        <v>928</v>
      </c>
      <c r="B335" s="28" t="s">
        <v>929</v>
      </c>
    </row>
    <row r="336">
      <c r="A336" s="28" t="s">
        <v>930</v>
      </c>
      <c r="B336" s="28" t="s">
        <v>931</v>
      </c>
    </row>
    <row r="337">
      <c r="A337" s="28" t="s">
        <v>932</v>
      </c>
      <c r="B337" s="28" t="s">
        <v>933</v>
      </c>
    </row>
    <row r="338">
      <c r="A338" s="28" t="s">
        <v>934</v>
      </c>
      <c r="B338" s="28" t="s">
        <v>935</v>
      </c>
    </row>
    <row r="339">
      <c r="A339" s="28" t="s">
        <v>936</v>
      </c>
      <c r="B339" s="28" t="s">
        <v>937</v>
      </c>
    </row>
    <row r="340">
      <c r="A340" s="28" t="s">
        <v>938</v>
      </c>
      <c r="B340" s="28" t="s">
        <v>939</v>
      </c>
    </row>
    <row r="341">
      <c r="A341" s="28" t="s">
        <v>940</v>
      </c>
      <c r="B341" s="28" t="s">
        <v>941</v>
      </c>
    </row>
    <row r="342">
      <c r="A342" s="28" t="s">
        <v>942</v>
      </c>
      <c r="B342" s="28" t="s">
        <v>944</v>
      </c>
    </row>
    <row r="343">
      <c r="A343" s="28" t="s">
        <v>945</v>
      </c>
      <c r="B343" s="28" t="s">
        <v>947</v>
      </c>
    </row>
    <row r="344">
      <c r="A344" s="28" t="s">
        <v>948</v>
      </c>
      <c r="B344" s="28" t="s">
        <v>949</v>
      </c>
    </row>
    <row r="345">
      <c r="A345" s="28" t="s">
        <v>950</v>
      </c>
      <c r="B345" s="28" t="s">
        <v>951</v>
      </c>
    </row>
    <row r="346">
      <c r="A346" s="28" t="s">
        <v>952</v>
      </c>
      <c r="B346" s="28" t="s">
        <v>953</v>
      </c>
    </row>
    <row r="347">
      <c r="A347" s="28" t="s">
        <v>954</v>
      </c>
      <c r="B347" s="28" t="s">
        <v>955</v>
      </c>
    </row>
    <row r="348">
      <c r="A348" s="28" t="s">
        <v>957</v>
      </c>
      <c r="B348" s="28" t="s">
        <v>958</v>
      </c>
    </row>
    <row r="349">
      <c r="A349" s="28" t="s">
        <v>959</v>
      </c>
      <c r="B349" s="28" t="s">
        <v>960</v>
      </c>
    </row>
    <row r="350">
      <c r="A350" s="28" t="s">
        <v>963</v>
      </c>
      <c r="B350" s="28" t="s">
        <v>964</v>
      </c>
    </row>
    <row r="351">
      <c r="A351" s="28" t="s">
        <v>966</v>
      </c>
      <c r="B351" s="28" t="s">
        <v>967</v>
      </c>
    </row>
    <row r="352">
      <c r="A352" s="28" t="s">
        <v>969</v>
      </c>
      <c r="B352" s="28" t="s">
        <v>970</v>
      </c>
    </row>
    <row r="353">
      <c r="A353" s="28" t="s">
        <v>972</v>
      </c>
      <c r="B353" s="28" t="s">
        <v>973</v>
      </c>
    </row>
    <row r="354">
      <c r="A354" s="28" t="s">
        <v>975</v>
      </c>
      <c r="B354" s="28" t="s">
        <v>976</v>
      </c>
    </row>
    <row r="355">
      <c r="A355" s="28" t="s">
        <v>977</v>
      </c>
      <c r="B355" s="28" t="s">
        <v>978</v>
      </c>
    </row>
    <row r="356">
      <c r="A356" s="28" t="s">
        <v>979</v>
      </c>
      <c r="B356" s="28" t="s">
        <v>980</v>
      </c>
    </row>
    <row r="357">
      <c r="A357" s="28" t="s">
        <v>981</v>
      </c>
      <c r="B357" s="28" t="s">
        <v>982</v>
      </c>
    </row>
    <row r="358">
      <c r="A358" s="28" t="s">
        <v>983</v>
      </c>
      <c r="B358" s="28" t="s">
        <v>984</v>
      </c>
    </row>
    <row r="359">
      <c r="A359" s="28" t="s">
        <v>985</v>
      </c>
      <c r="B359" s="28" t="s">
        <v>986</v>
      </c>
    </row>
    <row r="360">
      <c r="A360" s="28" t="s">
        <v>987</v>
      </c>
      <c r="B360" s="28" t="s">
        <v>988</v>
      </c>
    </row>
    <row r="361">
      <c r="A361" s="28" t="s">
        <v>989</v>
      </c>
      <c r="B361" s="28" t="s">
        <v>991</v>
      </c>
    </row>
    <row r="362">
      <c r="A362" s="28" t="s">
        <v>992</v>
      </c>
      <c r="B362" s="28" t="s">
        <v>994</v>
      </c>
    </row>
    <row r="363">
      <c r="A363" s="28" t="s">
        <v>995</v>
      </c>
      <c r="B363" s="28" t="s">
        <v>996</v>
      </c>
    </row>
    <row r="364">
      <c r="A364" s="28" t="s">
        <v>997</v>
      </c>
      <c r="B364" s="28" t="s">
        <v>998</v>
      </c>
    </row>
    <row r="365">
      <c r="A365" s="28" t="s">
        <v>1000</v>
      </c>
      <c r="B365" s="28" t="s">
        <v>1001</v>
      </c>
    </row>
    <row r="366">
      <c r="A366" s="28" t="s">
        <v>1002</v>
      </c>
      <c r="B366" s="28" t="s">
        <v>1005</v>
      </c>
    </row>
    <row r="367">
      <c r="A367" s="28" t="s">
        <v>1006</v>
      </c>
      <c r="B367" s="28" t="s">
        <v>1007</v>
      </c>
    </row>
    <row r="368">
      <c r="A368" s="28" t="s">
        <v>1008</v>
      </c>
      <c r="B368" s="28" t="s">
        <v>1009</v>
      </c>
    </row>
    <row r="369">
      <c r="A369" s="28" t="s">
        <v>1011</v>
      </c>
      <c r="B369" s="28" t="s">
        <v>1013</v>
      </c>
    </row>
    <row r="370">
      <c r="A370" s="28" t="s">
        <v>1015</v>
      </c>
      <c r="B370" s="28" t="s">
        <v>1016</v>
      </c>
    </row>
    <row r="371">
      <c r="A371" s="28" t="s">
        <v>1017</v>
      </c>
      <c r="B371" s="28" t="s">
        <v>1018</v>
      </c>
    </row>
    <row r="372">
      <c r="A372" s="28" t="s">
        <v>1019</v>
      </c>
      <c r="B372" s="28" t="s">
        <v>1020</v>
      </c>
    </row>
    <row r="373">
      <c r="A373" s="28" t="s">
        <v>1021</v>
      </c>
      <c r="B373" s="28" t="s">
        <v>1022</v>
      </c>
    </row>
    <row r="374">
      <c r="A374" s="28" t="s">
        <v>1023</v>
      </c>
      <c r="B374" s="28" t="s">
        <v>1024</v>
      </c>
    </row>
    <row r="375">
      <c r="A375" s="28" t="s">
        <v>1025</v>
      </c>
      <c r="B375" s="28" t="s">
        <v>1026</v>
      </c>
    </row>
    <row r="376">
      <c r="A376" s="28" t="s">
        <v>1028</v>
      </c>
      <c r="B376" s="28" t="s">
        <v>1030</v>
      </c>
    </row>
    <row r="377">
      <c r="A377" s="28" t="s">
        <v>1031</v>
      </c>
      <c r="B377" s="28" t="s">
        <v>1033</v>
      </c>
    </row>
    <row r="378">
      <c r="A378" s="28" t="s">
        <v>1035</v>
      </c>
      <c r="B378" s="28" t="s">
        <v>1036</v>
      </c>
    </row>
    <row r="379">
      <c r="A379" s="28" t="s">
        <v>1037</v>
      </c>
      <c r="B379" s="28" t="s">
        <v>1039</v>
      </c>
    </row>
    <row r="380">
      <c r="A380" s="28" t="s">
        <v>1040</v>
      </c>
      <c r="B380" s="28" t="s">
        <v>1041</v>
      </c>
    </row>
    <row r="381">
      <c r="A381" s="28" t="s">
        <v>1042</v>
      </c>
      <c r="B381" s="28" t="s">
        <v>1044</v>
      </c>
    </row>
    <row r="382">
      <c r="A382" s="28" t="s">
        <v>1046</v>
      </c>
      <c r="B382" s="28" t="s">
        <v>1047</v>
      </c>
    </row>
    <row r="383">
      <c r="A383" s="28" t="s">
        <v>1048</v>
      </c>
      <c r="B383" s="28" t="s">
        <v>1049</v>
      </c>
    </row>
    <row r="384">
      <c r="A384" s="28" t="s">
        <v>1050</v>
      </c>
      <c r="B384" s="28" t="s">
        <v>1051</v>
      </c>
    </row>
    <row r="385">
      <c r="A385" s="28" t="s">
        <v>1053</v>
      </c>
      <c r="B385" s="28" t="s">
        <v>1054</v>
      </c>
    </row>
    <row r="386">
      <c r="A386" s="28" t="s">
        <v>1055</v>
      </c>
      <c r="B386" s="28" t="s">
        <v>1056</v>
      </c>
    </row>
    <row r="387">
      <c r="A387" s="28" t="s">
        <v>1057</v>
      </c>
      <c r="B387" s="28" t="s">
        <v>1058</v>
      </c>
    </row>
    <row r="388">
      <c r="A388" s="28" t="s">
        <v>1059</v>
      </c>
      <c r="B388" s="28" t="s">
        <v>1060</v>
      </c>
    </row>
    <row r="389">
      <c r="A389" s="28" t="s">
        <v>1061</v>
      </c>
      <c r="B389" s="28" t="s">
        <v>1063</v>
      </c>
    </row>
    <row r="390">
      <c r="A390" s="28" t="s">
        <v>1064</v>
      </c>
      <c r="B390" s="28" t="s">
        <v>1065</v>
      </c>
    </row>
    <row r="391">
      <c r="A391" s="28" t="s">
        <v>1066</v>
      </c>
      <c r="B391" s="28" t="s">
        <v>258</v>
      </c>
    </row>
    <row r="392">
      <c r="A392" s="28" t="s">
        <v>1068</v>
      </c>
      <c r="B392" s="28" t="s">
        <v>1070</v>
      </c>
    </row>
    <row r="393">
      <c r="A393" s="28" t="s">
        <v>1072</v>
      </c>
      <c r="B393" s="28" t="s">
        <v>1073</v>
      </c>
    </row>
    <row r="394">
      <c r="A394" s="28" t="s">
        <v>1074</v>
      </c>
      <c r="B394" s="28" t="s">
        <v>1075</v>
      </c>
    </row>
    <row r="395">
      <c r="A395" s="28" t="s">
        <v>1077</v>
      </c>
      <c r="B395" s="28" t="s">
        <v>1078</v>
      </c>
    </row>
    <row r="396">
      <c r="A396" s="28" t="s">
        <v>1079</v>
      </c>
      <c r="B396" s="28" t="s">
        <v>1080</v>
      </c>
    </row>
    <row r="397">
      <c r="A397" s="28" t="s">
        <v>1081</v>
      </c>
      <c r="B397" s="28" t="s">
        <v>1082</v>
      </c>
    </row>
    <row r="398">
      <c r="A398" s="28" t="s">
        <v>1084</v>
      </c>
      <c r="B398" s="28" t="s">
        <v>1086</v>
      </c>
    </row>
    <row r="399">
      <c r="A399" s="28" t="s">
        <v>1087</v>
      </c>
      <c r="B399" s="28" t="s">
        <v>1088</v>
      </c>
    </row>
    <row r="400">
      <c r="A400" s="28" t="s">
        <v>1089</v>
      </c>
      <c r="B400" s="28" t="s">
        <v>1090</v>
      </c>
    </row>
    <row r="401">
      <c r="A401" s="28" t="s">
        <v>1091</v>
      </c>
      <c r="B401" s="28" t="s">
        <v>1092</v>
      </c>
    </row>
    <row r="402">
      <c r="A402" s="28" t="s">
        <v>1093</v>
      </c>
      <c r="B402" s="28" t="s">
        <v>1095</v>
      </c>
    </row>
    <row r="403">
      <c r="A403" s="28" t="s">
        <v>1096</v>
      </c>
      <c r="B403" s="28" t="s">
        <v>1097</v>
      </c>
    </row>
    <row r="404">
      <c r="A404" s="28" t="s">
        <v>1099</v>
      </c>
      <c r="B404" s="28" t="s">
        <v>49</v>
      </c>
    </row>
    <row r="405">
      <c r="A405" s="28" t="s">
        <v>1101</v>
      </c>
      <c r="B405" s="28" t="s">
        <v>1103</v>
      </c>
    </row>
    <row r="406">
      <c r="A406" s="28" t="s">
        <v>1104</v>
      </c>
      <c r="B406" s="28" t="s">
        <v>1105</v>
      </c>
    </row>
    <row r="407">
      <c r="A407" s="28" t="s">
        <v>1106</v>
      </c>
      <c r="B407" s="28" t="s">
        <v>1107</v>
      </c>
    </row>
    <row r="408">
      <c r="A408" s="28" t="s">
        <v>1108</v>
      </c>
      <c r="B408" s="28" t="s">
        <v>1109</v>
      </c>
    </row>
    <row r="409">
      <c r="A409" s="28" t="s">
        <v>1111</v>
      </c>
      <c r="B409" s="28" t="s">
        <v>1112</v>
      </c>
    </row>
    <row r="410">
      <c r="A410" s="28" t="s">
        <v>1113</v>
      </c>
      <c r="B410" s="28" t="s">
        <v>1114</v>
      </c>
    </row>
    <row r="411">
      <c r="A411" s="28" t="s">
        <v>1115</v>
      </c>
      <c r="B411" s="28" t="s">
        <v>1116</v>
      </c>
    </row>
    <row r="412">
      <c r="A412" s="28" t="s">
        <v>1118</v>
      </c>
      <c r="B412" s="28" t="s">
        <v>86</v>
      </c>
    </row>
    <row r="413">
      <c r="A413" s="28" t="s">
        <v>1119</v>
      </c>
      <c r="B413" s="28" t="s">
        <v>1120</v>
      </c>
    </row>
    <row r="414">
      <c r="A414" s="28" t="s">
        <v>1122</v>
      </c>
      <c r="B414" s="28" t="s">
        <v>1124</v>
      </c>
    </row>
    <row r="415">
      <c r="A415" s="28" t="s">
        <v>1126</v>
      </c>
      <c r="B415" s="28" t="s">
        <v>46</v>
      </c>
    </row>
    <row r="416">
      <c r="A416" s="28" t="s">
        <v>1128</v>
      </c>
      <c r="B416" s="28" t="s">
        <v>1129</v>
      </c>
    </row>
    <row r="417">
      <c r="A417" s="28" t="s">
        <v>1130</v>
      </c>
      <c r="B417" s="28" t="s">
        <v>1131</v>
      </c>
    </row>
    <row r="418">
      <c r="A418" s="28" t="s">
        <v>1132</v>
      </c>
      <c r="B418" s="28" t="s">
        <v>1133</v>
      </c>
    </row>
    <row r="419">
      <c r="A419" s="28" t="s">
        <v>1134</v>
      </c>
      <c r="B419" s="28" t="s">
        <v>1135</v>
      </c>
    </row>
    <row r="420">
      <c r="A420" s="28" t="s">
        <v>1136</v>
      </c>
      <c r="B420" s="28" t="s">
        <v>1137</v>
      </c>
    </row>
    <row r="421">
      <c r="A421" s="28" t="s">
        <v>1138</v>
      </c>
      <c r="B421" s="28" t="s">
        <v>1139</v>
      </c>
    </row>
    <row r="422">
      <c r="A422" s="28" t="s">
        <v>1140</v>
      </c>
      <c r="B422" s="28" t="s">
        <v>1141</v>
      </c>
    </row>
    <row r="423">
      <c r="A423" s="28" t="s">
        <v>1143</v>
      </c>
      <c r="B423" s="28" t="s">
        <v>1144</v>
      </c>
    </row>
    <row r="424">
      <c r="A424" s="28" t="s">
        <v>1146</v>
      </c>
      <c r="B424" s="28" t="s">
        <v>1147</v>
      </c>
    </row>
    <row r="425">
      <c r="A425" s="28" t="s">
        <v>1148</v>
      </c>
      <c r="B425" s="28" t="s">
        <v>1149</v>
      </c>
    </row>
    <row r="426">
      <c r="A426" s="28" t="s">
        <v>1151</v>
      </c>
      <c r="B426" s="28" t="s">
        <v>1152</v>
      </c>
    </row>
    <row r="427">
      <c r="A427" s="28" t="s">
        <v>1153</v>
      </c>
      <c r="B427" s="28" t="s">
        <v>1154</v>
      </c>
    </row>
    <row r="428">
      <c r="A428" s="28" t="s">
        <v>1155</v>
      </c>
      <c r="B428" s="28" t="s">
        <v>1156</v>
      </c>
    </row>
    <row r="429">
      <c r="A429" s="28" t="s">
        <v>1157</v>
      </c>
      <c r="B429" s="28" t="s">
        <v>1158</v>
      </c>
    </row>
    <row r="430">
      <c r="A430" s="28" t="s">
        <v>1159</v>
      </c>
      <c r="B430" s="28" t="s">
        <v>1160</v>
      </c>
    </row>
    <row r="431">
      <c r="A431" s="28" t="s">
        <v>1161</v>
      </c>
      <c r="B431" s="28" t="s">
        <v>1162</v>
      </c>
    </row>
    <row r="432">
      <c r="A432" s="28" t="s">
        <v>1163</v>
      </c>
      <c r="B432" s="28" t="s">
        <v>1164</v>
      </c>
    </row>
    <row r="433">
      <c r="A433" s="28" t="s">
        <v>1167</v>
      </c>
      <c r="B433" s="28" t="s">
        <v>1168</v>
      </c>
    </row>
    <row r="434">
      <c r="A434" s="28" t="s">
        <v>1170</v>
      </c>
      <c r="B434" s="28" t="s">
        <v>1171</v>
      </c>
    </row>
    <row r="435">
      <c r="A435" s="28" t="s">
        <v>1172</v>
      </c>
      <c r="B435" s="28" t="s">
        <v>1173</v>
      </c>
    </row>
    <row r="436">
      <c r="A436" s="28" t="s">
        <v>1174</v>
      </c>
      <c r="B436" s="28" t="s">
        <v>1175</v>
      </c>
    </row>
    <row r="437">
      <c r="A437" s="28" t="s">
        <v>1176</v>
      </c>
      <c r="B437" s="28" t="s">
        <v>1177</v>
      </c>
    </row>
    <row r="438">
      <c r="A438" s="28" t="s">
        <v>1178</v>
      </c>
      <c r="B438" s="28" t="s">
        <v>1179</v>
      </c>
    </row>
    <row r="439">
      <c r="A439" s="28" t="s">
        <v>1180</v>
      </c>
      <c r="B439" s="28" t="s">
        <v>1181</v>
      </c>
    </row>
    <row r="440">
      <c r="A440" s="28" t="s">
        <v>1182</v>
      </c>
      <c r="B440" s="28" t="s">
        <v>1183</v>
      </c>
    </row>
    <row r="441">
      <c r="A441" s="28" t="s">
        <v>1184</v>
      </c>
      <c r="B441" s="28" t="s">
        <v>1185</v>
      </c>
    </row>
    <row r="442">
      <c r="A442" s="28" t="s">
        <v>1186</v>
      </c>
      <c r="B442" s="28" t="s">
        <v>1187</v>
      </c>
    </row>
    <row r="443">
      <c r="A443" s="28" t="s">
        <v>1188</v>
      </c>
      <c r="B443" s="28" t="s">
        <v>1190</v>
      </c>
    </row>
    <row r="444">
      <c r="A444" s="28" t="s">
        <v>1192</v>
      </c>
      <c r="B444" s="28" t="s">
        <v>1193</v>
      </c>
    </row>
    <row r="445">
      <c r="A445" s="28" t="s">
        <v>1194</v>
      </c>
      <c r="B445" s="28" t="s">
        <v>1195</v>
      </c>
    </row>
    <row r="446">
      <c r="A446" s="28" t="s">
        <v>1196</v>
      </c>
      <c r="B446" s="28" t="s">
        <v>1197</v>
      </c>
    </row>
    <row r="447">
      <c r="A447" s="28" t="s">
        <v>1198</v>
      </c>
      <c r="B447" s="28" t="s">
        <v>1199</v>
      </c>
    </row>
    <row r="448">
      <c r="A448" s="28" t="s">
        <v>1200</v>
      </c>
      <c r="B448" s="28" t="s">
        <v>1201</v>
      </c>
    </row>
    <row r="449">
      <c r="A449" s="28" t="s">
        <v>1202</v>
      </c>
      <c r="B449" s="28" t="s">
        <v>1203</v>
      </c>
    </row>
    <row r="450">
      <c r="A450" s="28" t="s">
        <v>1204</v>
      </c>
      <c r="B450" s="28" t="s">
        <v>1205</v>
      </c>
    </row>
    <row r="451">
      <c r="A451" s="28" t="s">
        <v>1206</v>
      </c>
      <c r="B451" s="28" t="s">
        <v>1207</v>
      </c>
    </row>
    <row r="452">
      <c r="A452" s="28" t="s">
        <v>1208</v>
      </c>
      <c r="B452" s="28" t="s">
        <v>1211</v>
      </c>
    </row>
    <row r="453">
      <c r="A453" s="28" t="s">
        <v>1212</v>
      </c>
      <c r="B453" s="28" t="s">
        <v>1214</v>
      </c>
    </row>
    <row r="454">
      <c r="A454" s="28" t="s">
        <v>1215</v>
      </c>
      <c r="B454" s="28" t="s">
        <v>1216</v>
      </c>
    </row>
    <row r="455">
      <c r="A455" s="28" t="s">
        <v>1217</v>
      </c>
      <c r="B455" s="28" t="s">
        <v>1218</v>
      </c>
    </row>
    <row r="456">
      <c r="A456" s="28" t="s">
        <v>1219</v>
      </c>
      <c r="B456" s="28" t="s">
        <v>1220</v>
      </c>
    </row>
    <row r="457">
      <c r="A457" s="28" t="s">
        <v>1222</v>
      </c>
      <c r="B457" s="28" t="s">
        <v>1223</v>
      </c>
    </row>
    <row r="458">
      <c r="A458" s="28" t="s">
        <v>1224</v>
      </c>
      <c r="B458" s="28" t="s">
        <v>1225</v>
      </c>
    </row>
    <row r="459">
      <c r="A459" s="28" t="s">
        <v>1226</v>
      </c>
      <c r="B459" s="28" t="s">
        <v>1227</v>
      </c>
    </row>
    <row r="460">
      <c r="A460" s="28" t="s">
        <v>1229</v>
      </c>
      <c r="B460" s="28" t="s">
        <v>1230</v>
      </c>
    </row>
    <row r="461">
      <c r="A461" s="28" t="s">
        <v>1231</v>
      </c>
      <c r="B461" s="28" t="s">
        <v>1232</v>
      </c>
    </row>
    <row r="462">
      <c r="A462" s="28" t="s">
        <v>1233</v>
      </c>
      <c r="B462" s="28" t="s">
        <v>1234</v>
      </c>
    </row>
    <row r="463">
      <c r="A463" s="28" t="s">
        <v>1236</v>
      </c>
      <c r="B463" s="28" t="s">
        <v>1237</v>
      </c>
    </row>
    <row r="464">
      <c r="A464" s="28" t="s">
        <v>1239</v>
      </c>
      <c r="B464" s="28" t="s">
        <v>1240</v>
      </c>
    </row>
    <row r="465">
      <c r="A465" s="28" t="s">
        <v>1241</v>
      </c>
      <c r="B465" s="28" t="s">
        <v>1242</v>
      </c>
    </row>
    <row r="466">
      <c r="A466" s="28" t="s">
        <v>1243</v>
      </c>
      <c r="B466" s="28" t="s">
        <v>1244</v>
      </c>
    </row>
    <row r="467">
      <c r="A467" s="28" t="s">
        <v>1245</v>
      </c>
      <c r="B467" s="28" t="s">
        <v>1246</v>
      </c>
    </row>
    <row r="468">
      <c r="A468" s="28" t="s">
        <v>1247</v>
      </c>
      <c r="B468" s="28" t="s">
        <v>1248</v>
      </c>
    </row>
    <row r="469">
      <c r="A469" s="28" t="s">
        <v>1249</v>
      </c>
      <c r="B469" s="28" t="s">
        <v>1250</v>
      </c>
    </row>
    <row r="470">
      <c r="A470" s="28" t="s">
        <v>1251</v>
      </c>
      <c r="B470" s="28" t="s">
        <v>1252</v>
      </c>
    </row>
    <row r="471">
      <c r="A471" s="28" t="s">
        <v>1253</v>
      </c>
      <c r="B471" s="28" t="s">
        <v>1254</v>
      </c>
    </row>
    <row r="472">
      <c r="A472" s="28" t="s">
        <v>1255</v>
      </c>
      <c r="B472" s="28" t="s">
        <v>1256</v>
      </c>
    </row>
    <row r="473">
      <c r="A473" s="28" t="s">
        <v>1258</v>
      </c>
      <c r="B473" s="28" t="s">
        <v>1259</v>
      </c>
    </row>
    <row r="474">
      <c r="A474" s="28" t="s">
        <v>1261</v>
      </c>
      <c r="B474" s="28" t="s">
        <v>1262</v>
      </c>
    </row>
    <row r="475">
      <c r="A475" s="28" t="s">
        <v>1264</v>
      </c>
      <c r="B475" s="28" t="s">
        <v>1265</v>
      </c>
    </row>
    <row r="476">
      <c r="A476" s="28" t="s">
        <v>1266</v>
      </c>
      <c r="B476" s="28" t="s">
        <v>1267</v>
      </c>
    </row>
    <row r="477">
      <c r="A477" s="28" t="s">
        <v>1268</v>
      </c>
      <c r="B477" s="28" t="s">
        <v>1269</v>
      </c>
    </row>
    <row r="478">
      <c r="A478" s="28" t="s">
        <v>1270</v>
      </c>
      <c r="B478" s="28" t="s">
        <v>1271</v>
      </c>
    </row>
    <row r="479">
      <c r="A479" s="28" t="s">
        <v>1272</v>
      </c>
      <c r="B479" s="28" t="s">
        <v>1273</v>
      </c>
    </row>
    <row r="480">
      <c r="A480" s="28" t="s">
        <v>1274</v>
      </c>
      <c r="B480" s="28" t="s">
        <v>1275</v>
      </c>
    </row>
    <row r="481">
      <c r="A481" s="28" t="s">
        <v>1276</v>
      </c>
      <c r="B481" s="28" t="s">
        <v>1277</v>
      </c>
    </row>
    <row r="482">
      <c r="A482" s="28" t="s">
        <v>1279</v>
      </c>
      <c r="B482" s="28" t="s">
        <v>1280</v>
      </c>
    </row>
    <row r="483">
      <c r="A483" s="28" t="s">
        <v>1281</v>
      </c>
      <c r="B483" s="28" t="s">
        <v>1282</v>
      </c>
    </row>
    <row r="484">
      <c r="A484" s="28" t="s">
        <v>1284</v>
      </c>
      <c r="B484" s="28" t="s">
        <v>1285</v>
      </c>
    </row>
    <row r="485">
      <c r="A485" s="28" t="s">
        <v>1286</v>
      </c>
      <c r="B485" s="28" t="s">
        <v>1287</v>
      </c>
    </row>
    <row r="486">
      <c r="A486" s="28" t="s">
        <v>1288</v>
      </c>
      <c r="B486" s="28" t="s">
        <v>1289</v>
      </c>
    </row>
    <row r="487">
      <c r="A487" s="28" t="s">
        <v>1290</v>
      </c>
      <c r="B487" s="28" t="s">
        <v>1291</v>
      </c>
    </row>
    <row r="488">
      <c r="A488" s="28" t="s">
        <v>1292</v>
      </c>
      <c r="B488" s="28" t="s">
        <v>1293</v>
      </c>
    </row>
    <row r="489">
      <c r="A489" s="28" t="s">
        <v>1294</v>
      </c>
      <c r="B489" s="28" t="s">
        <v>1295</v>
      </c>
    </row>
    <row r="490">
      <c r="A490" s="28" t="s">
        <v>1296</v>
      </c>
      <c r="B490" s="28" t="s">
        <v>1297</v>
      </c>
    </row>
    <row r="491">
      <c r="A491" s="28" t="s">
        <v>1298</v>
      </c>
      <c r="B491" s="28" t="s">
        <v>1299</v>
      </c>
    </row>
    <row r="492">
      <c r="A492" s="28" t="s">
        <v>1300</v>
      </c>
      <c r="B492" s="28" t="s">
        <v>1301</v>
      </c>
    </row>
    <row r="493">
      <c r="A493" s="28" t="s">
        <v>1302</v>
      </c>
      <c r="B493" s="28" t="s">
        <v>1303</v>
      </c>
    </row>
    <row r="494">
      <c r="A494" s="28" t="s">
        <v>1304</v>
      </c>
      <c r="B494" s="28" t="s">
        <v>1306</v>
      </c>
    </row>
    <row r="495">
      <c r="A495" s="28" t="s">
        <v>1307</v>
      </c>
      <c r="B495" s="28" t="s">
        <v>1309</v>
      </c>
    </row>
    <row r="496">
      <c r="A496" s="28" t="s">
        <v>1310</v>
      </c>
      <c r="B496" s="28" t="s">
        <v>1311</v>
      </c>
    </row>
    <row r="497">
      <c r="A497" s="28" t="s">
        <v>1312</v>
      </c>
      <c r="B497" s="28" t="s">
        <v>1313</v>
      </c>
    </row>
    <row r="498">
      <c r="A498" s="28" t="s">
        <v>1314</v>
      </c>
      <c r="B498" s="28" t="s">
        <v>78</v>
      </c>
    </row>
    <row r="499">
      <c r="A499" s="28" t="s">
        <v>1315</v>
      </c>
      <c r="B499" s="28" t="s">
        <v>1317</v>
      </c>
    </row>
    <row r="500">
      <c r="A500" s="28" t="s">
        <v>1318</v>
      </c>
      <c r="B500" s="28" t="s">
        <v>1319</v>
      </c>
    </row>
    <row r="501">
      <c r="A501" s="28" t="s">
        <v>1320</v>
      </c>
      <c r="B501" s="28" t="s">
        <v>1321</v>
      </c>
    </row>
    <row r="502">
      <c r="A502" s="28" t="s">
        <v>1322</v>
      </c>
      <c r="B502" s="28" t="s">
        <v>1323</v>
      </c>
    </row>
    <row r="503">
      <c r="A503" s="28" t="s">
        <v>1324</v>
      </c>
      <c r="B503" s="28" t="s">
        <v>1326</v>
      </c>
    </row>
    <row r="504">
      <c r="A504" s="28" t="s">
        <v>1327</v>
      </c>
      <c r="B504" s="28" t="s">
        <v>1329</v>
      </c>
    </row>
    <row r="505">
      <c r="A505" s="28" t="s">
        <v>1330</v>
      </c>
      <c r="B505" s="28" t="s">
        <v>1331</v>
      </c>
    </row>
    <row r="506">
      <c r="A506" s="28" t="s">
        <v>1332</v>
      </c>
      <c r="B506" s="28" t="s">
        <v>1333</v>
      </c>
    </row>
    <row r="507">
      <c r="A507" s="28" t="s">
        <v>1334</v>
      </c>
      <c r="B507" s="28" t="s">
        <v>1335</v>
      </c>
    </row>
    <row r="508">
      <c r="A508" s="28" t="s">
        <v>1336</v>
      </c>
      <c r="B508" s="28" t="s">
        <v>1337</v>
      </c>
    </row>
    <row r="509">
      <c r="A509" s="28" t="s">
        <v>1338</v>
      </c>
      <c r="B509" s="28" t="s">
        <v>1339</v>
      </c>
    </row>
    <row r="510">
      <c r="A510" s="28" t="s">
        <v>1340</v>
      </c>
      <c r="B510" s="28" t="s">
        <v>1341</v>
      </c>
    </row>
    <row r="511">
      <c r="A511" s="28" t="s">
        <v>1342</v>
      </c>
      <c r="B511" s="28" t="s">
        <v>1343</v>
      </c>
    </row>
    <row r="512">
      <c r="A512" s="28" t="s">
        <v>1344</v>
      </c>
      <c r="B512" s="28" t="s">
        <v>1345</v>
      </c>
    </row>
    <row r="513">
      <c r="A513" s="28" t="s">
        <v>1346</v>
      </c>
      <c r="B513" s="28" t="s">
        <v>1347</v>
      </c>
    </row>
    <row r="514">
      <c r="A514" s="28" t="s">
        <v>1348</v>
      </c>
      <c r="B514" s="28" t="s">
        <v>1349</v>
      </c>
    </row>
    <row r="515">
      <c r="A515" s="28" t="s">
        <v>1350</v>
      </c>
      <c r="B515" s="28" t="s">
        <v>1351</v>
      </c>
    </row>
    <row r="516">
      <c r="A516" s="28" t="s">
        <v>1356</v>
      </c>
      <c r="B516" s="28" t="s">
        <v>1357</v>
      </c>
    </row>
    <row r="517">
      <c r="A517" s="28" t="s">
        <v>1359</v>
      </c>
      <c r="B517" s="28" t="s">
        <v>1360</v>
      </c>
    </row>
    <row r="518">
      <c r="A518" s="28" t="s">
        <v>1361</v>
      </c>
      <c r="B518" s="28" t="s">
        <v>1362</v>
      </c>
    </row>
    <row r="519">
      <c r="A519" s="28" t="s">
        <v>1363</v>
      </c>
      <c r="B519" s="28" t="s">
        <v>1364</v>
      </c>
    </row>
    <row r="520">
      <c r="A520" s="28" t="s">
        <v>1365</v>
      </c>
      <c r="B520" s="28" t="s">
        <v>1366</v>
      </c>
    </row>
    <row r="521">
      <c r="A521" s="28" t="s">
        <v>1367</v>
      </c>
      <c r="B521" s="28" t="s">
        <v>1368</v>
      </c>
    </row>
    <row r="522">
      <c r="A522" s="28" t="s">
        <v>1370</v>
      </c>
      <c r="B522" s="28" t="s">
        <v>1371</v>
      </c>
    </row>
    <row r="523">
      <c r="A523" s="28" t="s">
        <v>1372</v>
      </c>
      <c r="B523" s="28" t="s">
        <v>1373</v>
      </c>
    </row>
    <row r="524">
      <c r="A524" s="28" t="s">
        <v>1374</v>
      </c>
      <c r="B524" s="28" t="s">
        <v>1375</v>
      </c>
    </row>
    <row r="525">
      <c r="A525" s="28" t="s">
        <v>1376</v>
      </c>
      <c r="B525" s="28" t="s">
        <v>365</v>
      </c>
    </row>
    <row r="526">
      <c r="A526" s="28" t="s">
        <v>1377</v>
      </c>
      <c r="B526" s="28" t="s">
        <v>1378</v>
      </c>
    </row>
    <row r="527">
      <c r="A527" s="28" t="s">
        <v>1379</v>
      </c>
      <c r="B527" s="28" t="s">
        <v>1380</v>
      </c>
    </row>
    <row r="528">
      <c r="A528" s="28" t="s">
        <v>1382</v>
      </c>
      <c r="B528" s="28" t="s">
        <v>1383</v>
      </c>
    </row>
    <row r="529">
      <c r="A529" s="28" t="s">
        <v>1384</v>
      </c>
      <c r="B529" s="28" t="s">
        <v>1385</v>
      </c>
    </row>
    <row r="530">
      <c r="A530" s="28" t="s">
        <v>1386</v>
      </c>
      <c r="B530" s="28" t="s">
        <v>1388</v>
      </c>
    </row>
    <row r="531">
      <c r="A531" s="28" t="s">
        <v>1389</v>
      </c>
      <c r="B531" s="28" t="s">
        <v>1390</v>
      </c>
    </row>
    <row r="532">
      <c r="A532" s="28" t="s">
        <v>1391</v>
      </c>
      <c r="B532" s="28" t="s">
        <v>1392</v>
      </c>
    </row>
    <row r="533">
      <c r="A533" s="28" t="s">
        <v>1393</v>
      </c>
      <c r="B533" s="28" t="s">
        <v>1394</v>
      </c>
    </row>
    <row r="534">
      <c r="A534" s="28" t="s">
        <v>1395</v>
      </c>
      <c r="B534" s="28" t="s">
        <v>1396</v>
      </c>
    </row>
    <row r="535">
      <c r="A535" s="28" t="s">
        <v>1398</v>
      </c>
      <c r="B535" s="28" t="s">
        <v>1399</v>
      </c>
    </row>
    <row r="536">
      <c r="A536" s="28" t="s">
        <v>1400</v>
      </c>
      <c r="B536" s="28" t="s">
        <v>1402</v>
      </c>
    </row>
    <row r="537">
      <c r="A537" s="28" t="s">
        <v>1403</v>
      </c>
      <c r="B537" s="28" t="s">
        <v>1405</v>
      </c>
    </row>
    <row r="538">
      <c r="A538" s="28" t="s">
        <v>1406</v>
      </c>
      <c r="B538" s="28" t="s">
        <v>1407</v>
      </c>
    </row>
    <row r="539">
      <c r="A539" s="28" t="s">
        <v>1408</v>
      </c>
      <c r="B539" s="28" t="s">
        <v>1409</v>
      </c>
    </row>
    <row r="540">
      <c r="A540" s="28" t="s">
        <v>1410</v>
      </c>
      <c r="B540" s="28" t="s">
        <v>1411</v>
      </c>
    </row>
    <row r="541">
      <c r="A541" s="28" t="s">
        <v>1412</v>
      </c>
      <c r="B541" s="28" t="s">
        <v>956</v>
      </c>
    </row>
    <row r="542">
      <c r="A542" s="28" t="s">
        <v>1413</v>
      </c>
      <c r="B542" s="28" t="s">
        <v>1414</v>
      </c>
    </row>
    <row r="543">
      <c r="A543" s="28" t="s">
        <v>1415</v>
      </c>
      <c r="B543" s="28" t="s">
        <v>1417</v>
      </c>
    </row>
    <row r="544">
      <c r="A544" s="28" t="s">
        <v>1419</v>
      </c>
      <c r="B544" s="28" t="s">
        <v>1422</v>
      </c>
    </row>
    <row r="545">
      <c r="A545" s="28" t="s">
        <v>1423</v>
      </c>
      <c r="B545" s="28" t="s">
        <v>663</v>
      </c>
    </row>
    <row r="546">
      <c r="A546" s="28" t="s">
        <v>1424</v>
      </c>
      <c r="B546" s="28" t="s">
        <v>1425</v>
      </c>
    </row>
    <row r="547">
      <c r="A547" s="28" t="s">
        <v>1426</v>
      </c>
      <c r="B547" s="28" t="s">
        <v>1428</v>
      </c>
    </row>
    <row r="548">
      <c r="A548" s="28" t="s">
        <v>1429</v>
      </c>
      <c r="B548" s="28" t="s">
        <v>1430</v>
      </c>
    </row>
    <row r="549">
      <c r="A549" s="28" t="s">
        <v>1431</v>
      </c>
      <c r="B549" s="28" t="s">
        <v>1432</v>
      </c>
    </row>
    <row r="550">
      <c r="A550" s="28" t="s">
        <v>1433</v>
      </c>
      <c r="B550" s="28" t="s">
        <v>1434</v>
      </c>
    </row>
    <row r="551">
      <c r="A551" s="28" t="s">
        <v>1437</v>
      </c>
      <c r="B551" s="28" t="s">
        <v>1439</v>
      </c>
    </row>
    <row r="552">
      <c r="A552" s="28" t="s">
        <v>1440</v>
      </c>
      <c r="B552" s="28" t="s">
        <v>1442</v>
      </c>
    </row>
    <row r="553">
      <c r="A553" s="28" t="s">
        <v>1443</v>
      </c>
      <c r="B553" s="28" t="s">
        <v>1444</v>
      </c>
    </row>
    <row r="554">
      <c r="A554" s="28" t="s">
        <v>1445</v>
      </c>
      <c r="B554" s="28" t="s">
        <v>1446</v>
      </c>
    </row>
    <row r="555">
      <c r="A555" s="28" t="s">
        <v>1447</v>
      </c>
      <c r="B555" s="28" t="s">
        <v>1448</v>
      </c>
    </row>
    <row r="556">
      <c r="A556" s="28" t="s">
        <v>1449</v>
      </c>
      <c r="B556" s="28" t="s">
        <v>1450</v>
      </c>
    </row>
    <row r="557">
      <c r="A557" s="28" t="s">
        <v>1452</v>
      </c>
      <c r="B557" s="28" t="s">
        <v>1453</v>
      </c>
    </row>
    <row r="558">
      <c r="A558" s="28" t="s">
        <v>1455</v>
      </c>
      <c r="B558" s="28" t="s">
        <v>1457</v>
      </c>
    </row>
    <row r="559">
      <c r="A559" s="28" t="s">
        <v>1459</v>
      </c>
      <c r="B559" s="28" t="s">
        <v>1460</v>
      </c>
    </row>
    <row r="560">
      <c r="A560" s="28" t="s">
        <v>1461</v>
      </c>
      <c r="B560" s="28" t="s">
        <v>1463</v>
      </c>
    </row>
    <row r="561">
      <c r="A561" s="28" t="s">
        <v>1464</v>
      </c>
      <c r="B561" s="28" t="s">
        <v>1465</v>
      </c>
    </row>
    <row r="562">
      <c r="A562" s="28" t="s">
        <v>1466</v>
      </c>
      <c r="B562" s="28" t="s">
        <v>1467</v>
      </c>
    </row>
    <row r="563">
      <c r="A563" s="28" t="s">
        <v>1468</v>
      </c>
      <c r="B563" s="28" t="s">
        <v>1470</v>
      </c>
    </row>
    <row r="564">
      <c r="A564" s="28" t="s">
        <v>1471</v>
      </c>
      <c r="B564" s="28" t="s">
        <v>1472</v>
      </c>
    </row>
    <row r="565">
      <c r="A565" s="28" t="s">
        <v>1474</v>
      </c>
      <c r="B565" s="28" t="s">
        <v>1475</v>
      </c>
    </row>
    <row r="566">
      <c r="A566" s="28" t="s">
        <v>1476</v>
      </c>
      <c r="B566" s="28" t="s">
        <v>1477</v>
      </c>
    </row>
    <row r="567">
      <c r="A567" s="28" t="s">
        <v>1478</v>
      </c>
      <c r="B567" s="28" t="s">
        <v>700</v>
      </c>
    </row>
    <row r="568">
      <c r="A568" s="28" t="s">
        <v>1480</v>
      </c>
      <c r="B568" s="28" t="s">
        <v>1481</v>
      </c>
    </row>
    <row r="569">
      <c r="A569" s="28" t="s">
        <v>1482</v>
      </c>
      <c r="B569" s="28" t="s">
        <v>1485</v>
      </c>
    </row>
    <row r="570">
      <c r="A570" s="28" t="s">
        <v>1486</v>
      </c>
      <c r="B570" s="28" t="s">
        <v>1487</v>
      </c>
    </row>
    <row r="571">
      <c r="A571" s="28" t="s">
        <v>1488</v>
      </c>
      <c r="B571" s="28" t="s">
        <v>1489</v>
      </c>
    </row>
    <row r="572">
      <c r="A572" s="28" t="s">
        <v>1490</v>
      </c>
      <c r="B572" s="28" t="s">
        <v>1491</v>
      </c>
    </row>
    <row r="573">
      <c r="A573" s="28" t="s">
        <v>1492</v>
      </c>
      <c r="B573" s="28" t="s">
        <v>1493</v>
      </c>
    </row>
    <row r="574">
      <c r="A574" s="28" t="s">
        <v>1494</v>
      </c>
      <c r="B574" s="28" t="s">
        <v>1495</v>
      </c>
    </row>
    <row r="575">
      <c r="A575" s="28" t="s">
        <v>1496</v>
      </c>
      <c r="B575" s="28" t="s">
        <v>1497</v>
      </c>
    </row>
    <row r="576">
      <c r="A576" s="28" t="s">
        <v>1498</v>
      </c>
      <c r="B576" s="28" t="s">
        <v>1499</v>
      </c>
    </row>
    <row r="577">
      <c r="A577" s="28" t="s">
        <v>1500</v>
      </c>
      <c r="B577" s="28" t="s">
        <v>1502</v>
      </c>
    </row>
    <row r="578">
      <c r="A578" s="28" t="s">
        <v>1505</v>
      </c>
      <c r="B578" s="28" t="s">
        <v>1506</v>
      </c>
    </row>
    <row r="579">
      <c r="A579" s="28" t="s">
        <v>1507</v>
      </c>
      <c r="B579" s="28" t="s">
        <v>1508</v>
      </c>
    </row>
    <row r="580">
      <c r="A580" s="28" t="s">
        <v>1509</v>
      </c>
      <c r="B580" s="28" t="s">
        <v>1510</v>
      </c>
    </row>
    <row r="581">
      <c r="A581" s="28" t="s">
        <v>1511</v>
      </c>
      <c r="B581" s="28" t="s">
        <v>1512</v>
      </c>
    </row>
    <row r="582">
      <c r="A582" s="28" t="s">
        <v>1513</v>
      </c>
      <c r="B582" s="28" t="s">
        <v>1515</v>
      </c>
    </row>
    <row r="583">
      <c r="A583" s="28" t="s">
        <v>1516</v>
      </c>
      <c r="B583" s="28" t="s">
        <v>1517</v>
      </c>
    </row>
    <row r="584">
      <c r="A584" s="28" t="s">
        <v>1519</v>
      </c>
      <c r="B584" s="28" t="s">
        <v>1521</v>
      </c>
    </row>
    <row r="585">
      <c r="A585" s="28" t="s">
        <v>1522</v>
      </c>
      <c r="B585" s="28" t="s">
        <v>1523</v>
      </c>
    </row>
    <row r="586">
      <c r="A586" s="28" t="s">
        <v>1524</v>
      </c>
      <c r="B586" s="28" t="s">
        <v>1526</v>
      </c>
    </row>
    <row r="587">
      <c r="A587" s="28" t="s">
        <v>1527</v>
      </c>
      <c r="B587" s="28" t="s">
        <v>1528</v>
      </c>
    </row>
    <row r="588">
      <c r="A588" s="28" t="s">
        <v>1529</v>
      </c>
      <c r="B588" s="28" t="s">
        <v>1530</v>
      </c>
    </row>
    <row r="589">
      <c r="A589" s="28" t="s">
        <v>1531</v>
      </c>
      <c r="B589" s="28" t="s">
        <v>1533</v>
      </c>
    </row>
    <row r="590">
      <c r="A590" s="28" t="s">
        <v>1534</v>
      </c>
      <c r="B590" s="28" t="s">
        <v>1535</v>
      </c>
    </row>
    <row r="591">
      <c r="A591" s="28" t="s">
        <v>1536</v>
      </c>
      <c r="B591" s="28" t="s">
        <v>1537</v>
      </c>
    </row>
    <row r="592">
      <c r="A592" s="28" t="s">
        <v>1538</v>
      </c>
      <c r="B592" s="28" t="s">
        <v>1539</v>
      </c>
    </row>
    <row r="593">
      <c r="A593" s="28" t="s">
        <v>1540</v>
      </c>
      <c r="B593" s="28" t="s">
        <v>1542</v>
      </c>
    </row>
    <row r="594">
      <c r="A594" s="28" t="s">
        <v>1543</v>
      </c>
      <c r="B594" s="28" t="s">
        <v>1545</v>
      </c>
    </row>
    <row r="595">
      <c r="A595" s="28" t="s">
        <v>1546</v>
      </c>
      <c r="B595" s="28" t="s">
        <v>1548</v>
      </c>
    </row>
    <row r="596">
      <c r="A596" s="28" t="s">
        <v>1549</v>
      </c>
      <c r="B596" s="28" t="s">
        <v>1550</v>
      </c>
    </row>
    <row r="597">
      <c r="A597" s="28" t="s">
        <v>1551</v>
      </c>
      <c r="B597" s="28" t="s">
        <v>1552</v>
      </c>
    </row>
    <row r="598">
      <c r="A598" s="28" t="s">
        <v>1553</v>
      </c>
      <c r="B598" s="28" t="s">
        <v>1554</v>
      </c>
    </row>
    <row r="599">
      <c r="A599" s="28" t="s">
        <v>1556</v>
      </c>
      <c r="B599" s="28" t="s">
        <v>1557</v>
      </c>
    </row>
    <row r="600">
      <c r="A600" s="28" t="s">
        <v>1558</v>
      </c>
      <c r="B600" s="28" t="s">
        <v>1559</v>
      </c>
    </row>
    <row r="601">
      <c r="A601" s="28" t="s">
        <v>1560</v>
      </c>
      <c r="B601" s="28" t="s">
        <v>1561</v>
      </c>
    </row>
    <row r="602">
      <c r="A602" s="28" t="s">
        <v>1562</v>
      </c>
      <c r="B602" s="28" t="s">
        <v>1563</v>
      </c>
    </row>
    <row r="603">
      <c r="A603" s="28" t="s">
        <v>1564</v>
      </c>
      <c r="B603" s="28" t="s">
        <v>1565</v>
      </c>
    </row>
    <row r="604">
      <c r="A604" s="28" t="s">
        <v>1566</v>
      </c>
      <c r="B604" s="28" t="s">
        <v>1567</v>
      </c>
    </row>
    <row r="605">
      <c r="A605" s="28" t="s">
        <v>1568</v>
      </c>
      <c r="B605" s="28" t="s">
        <v>1569</v>
      </c>
    </row>
    <row r="606">
      <c r="A606" s="28" t="s">
        <v>1570</v>
      </c>
      <c r="B606" s="28" t="s">
        <v>1571</v>
      </c>
    </row>
    <row r="607">
      <c r="A607" s="28" t="s">
        <v>1572</v>
      </c>
      <c r="B607" s="28" t="s">
        <v>1573</v>
      </c>
    </row>
    <row r="608">
      <c r="A608" s="28" t="s">
        <v>1574</v>
      </c>
      <c r="B608" s="28" t="s">
        <v>1575</v>
      </c>
    </row>
    <row r="609">
      <c r="A609" s="28" t="s">
        <v>1576</v>
      </c>
      <c r="B609" s="28" t="s">
        <v>1578</v>
      </c>
    </row>
    <row r="610">
      <c r="A610" s="28" t="s">
        <v>1579</v>
      </c>
      <c r="B610" s="28" t="s">
        <v>1580</v>
      </c>
    </row>
    <row r="611">
      <c r="A611" s="28" t="s">
        <v>1581</v>
      </c>
      <c r="B611" s="28" t="s">
        <v>1582</v>
      </c>
    </row>
    <row r="612">
      <c r="A612" s="28" t="s">
        <v>1583</v>
      </c>
      <c r="B612" s="28" t="s">
        <v>1584</v>
      </c>
    </row>
    <row r="613">
      <c r="A613" s="28" t="s">
        <v>1585</v>
      </c>
      <c r="B613" s="28" t="s">
        <v>1586</v>
      </c>
    </row>
    <row r="614">
      <c r="A614" s="28" t="s">
        <v>1587</v>
      </c>
      <c r="B614" s="28" t="s">
        <v>1588</v>
      </c>
    </row>
    <row r="615">
      <c r="A615" s="28" t="s">
        <v>1590</v>
      </c>
      <c r="B615" s="28" t="s">
        <v>1591</v>
      </c>
    </row>
    <row r="616">
      <c r="A616" s="28" t="s">
        <v>1592</v>
      </c>
      <c r="B616" s="28" t="s">
        <v>1593</v>
      </c>
    </row>
    <row r="617">
      <c r="A617" s="28" t="s">
        <v>1594</v>
      </c>
      <c r="B617" s="28" t="s">
        <v>1595</v>
      </c>
    </row>
    <row r="618">
      <c r="A618" s="28" t="s">
        <v>1596</v>
      </c>
      <c r="B618" s="28" t="s">
        <v>1597</v>
      </c>
    </row>
    <row r="619">
      <c r="A619" s="28" t="s">
        <v>1598</v>
      </c>
      <c r="B619" s="28" t="s">
        <v>1600</v>
      </c>
    </row>
    <row r="620">
      <c r="A620" s="28" t="s">
        <v>1601</v>
      </c>
      <c r="B620" s="28" t="s">
        <v>1602</v>
      </c>
    </row>
    <row r="621">
      <c r="A621" s="28" t="s">
        <v>1603</v>
      </c>
      <c r="B621" s="28" t="s">
        <v>1605</v>
      </c>
    </row>
    <row r="622">
      <c r="A622" s="28" t="s">
        <v>1606</v>
      </c>
      <c r="B622" s="28" t="s">
        <v>1607</v>
      </c>
    </row>
    <row r="623">
      <c r="A623" s="28" t="s">
        <v>1608</v>
      </c>
      <c r="B623" s="28" t="s">
        <v>1609</v>
      </c>
    </row>
    <row r="624">
      <c r="A624" s="28" t="s">
        <v>1610</v>
      </c>
      <c r="B624" s="28" t="s">
        <v>1611</v>
      </c>
    </row>
    <row r="625">
      <c r="A625" s="28" t="s">
        <v>1612</v>
      </c>
      <c r="B625" s="28" t="s">
        <v>1613</v>
      </c>
    </row>
    <row r="626">
      <c r="A626" s="28" t="s">
        <v>1614</v>
      </c>
      <c r="B626" s="28" t="s">
        <v>1615</v>
      </c>
    </row>
    <row r="627">
      <c r="A627" s="28" t="s">
        <v>1617</v>
      </c>
      <c r="B627" s="28" t="s">
        <v>1619</v>
      </c>
    </row>
    <row r="628">
      <c r="A628" s="28" t="s">
        <v>1620</v>
      </c>
      <c r="B628" s="28" t="s">
        <v>1622</v>
      </c>
    </row>
    <row r="629">
      <c r="A629" s="28" t="s">
        <v>1623</v>
      </c>
      <c r="B629" s="28" t="s">
        <v>1624</v>
      </c>
    </row>
    <row r="630">
      <c r="A630" s="28" t="s">
        <v>1625</v>
      </c>
      <c r="B630" s="28" t="s">
        <v>1626</v>
      </c>
    </row>
    <row r="631">
      <c r="A631" s="28" t="s">
        <v>1627</v>
      </c>
      <c r="B631" s="28" t="s">
        <v>1628</v>
      </c>
    </row>
    <row r="632">
      <c r="A632" s="28" t="s">
        <v>1629</v>
      </c>
      <c r="B632" s="28" t="s">
        <v>1630</v>
      </c>
    </row>
    <row r="633">
      <c r="A633" s="28" t="s">
        <v>1631</v>
      </c>
      <c r="B633" s="28" t="s">
        <v>1632</v>
      </c>
    </row>
    <row r="634">
      <c r="A634" s="28" t="s">
        <v>1633</v>
      </c>
      <c r="B634" s="28" t="s">
        <v>1635</v>
      </c>
    </row>
    <row r="635">
      <c r="A635" s="28" t="s">
        <v>1637</v>
      </c>
      <c r="B635" s="28" t="s">
        <v>1638</v>
      </c>
    </row>
    <row r="636">
      <c r="A636" s="28" t="s">
        <v>1639</v>
      </c>
      <c r="B636" s="28" t="s">
        <v>1640</v>
      </c>
    </row>
    <row r="637">
      <c r="A637" s="28" t="s">
        <v>1641</v>
      </c>
      <c r="B637" s="28" t="s">
        <v>1643</v>
      </c>
    </row>
    <row r="638">
      <c r="A638" s="28" t="s">
        <v>1644</v>
      </c>
      <c r="B638" s="28" t="s">
        <v>1645</v>
      </c>
    </row>
    <row r="639">
      <c r="A639" s="28" t="s">
        <v>1646</v>
      </c>
      <c r="B639" s="28" t="s">
        <v>1647</v>
      </c>
    </row>
    <row r="640">
      <c r="A640" s="28" t="s">
        <v>1648</v>
      </c>
      <c r="B640" s="28" t="s">
        <v>1649</v>
      </c>
    </row>
    <row r="641">
      <c r="A641" s="28" t="s">
        <v>1650</v>
      </c>
      <c r="B641" s="28" t="s">
        <v>1651</v>
      </c>
    </row>
    <row r="642">
      <c r="A642" s="28" t="s">
        <v>1652</v>
      </c>
      <c r="B642" s="28" t="s">
        <v>1653</v>
      </c>
    </row>
    <row r="643">
      <c r="A643" s="28" t="s">
        <v>1654</v>
      </c>
      <c r="B643" s="28" t="s">
        <v>1656</v>
      </c>
    </row>
    <row r="644">
      <c r="A644" s="28" t="s">
        <v>1657</v>
      </c>
      <c r="B644" s="28" t="s">
        <v>1658</v>
      </c>
    </row>
    <row r="645">
      <c r="A645" s="28" t="s">
        <v>1660</v>
      </c>
      <c r="B645" s="28" t="s">
        <v>1661</v>
      </c>
    </row>
    <row r="646">
      <c r="A646" s="28" t="s">
        <v>1662</v>
      </c>
      <c r="B646" s="28" t="s">
        <v>1663</v>
      </c>
    </row>
    <row r="647">
      <c r="A647" s="28" t="s">
        <v>1666</v>
      </c>
      <c r="B647" s="28" t="s">
        <v>1667</v>
      </c>
    </row>
    <row r="648">
      <c r="A648" s="28" t="s">
        <v>1668</v>
      </c>
      <c r="B648" s="28" t="s">
        <v>1669</v>
      </c>
    </row>
    <row r="649">
      <c r="A649" s="28" t="s">
        <v>1670</v>
      </c>
      <c r="B649" s="28" t="s">
        <v>1671</v>
      </c>
    </row>
    <row r="650">
      <c r="A650" s="28" t="s">
        <v>1672</v>
      </c>
      <c r="B650" s="28" t="s">
        <v>1673</v>
      </c>
    </row>
    <row r="651">
      <c r="A651" s="28" t="s">
        <v>1674</v>
      </c>
      <c r="B651" s="28" t="s">
        <v>1676</v>
      </c>
    </row>
    <row r="652">
      <c r="A652" s="28" t="s">
        <v>1679</v>
      </c>
      <c r="B652" s="28" t="s">
        <v>1680</v>
      </c>
    </row>
    <row r="653">
      <c r="A653" s="28" t="s">
        <v>1681</v>
      </c>
      <c r="B653" s="28" t="s">
        <v>1682</v>
      </c>
    </row>
    <row r="654">
      <c r="A654" s="28" t="s">
        <v>1683</v>
      </c>
      <c r="B654" s="28" t="s">
        <v>1684</v>
      </c>
    </row>
    <row r="655">
      <c r="A655" s="28" t="s">
        <v>1685</v>
      </c>
      <c r="B655" s="28" t="s">
        <v>1686</v>
      </c>
    </row>
    <row r="656">
      <c r="A656" s="28" t="s">
        <v>1687</v>
      </c>
      <c r="B656" s="28" t="s">
        <v>1688</v>
      </c>
    </row>
    <row r="657">
      <c r="A657" s="28" t="s">
        <v>1689</v>
      </c>
      <c r="B657" s="28" t="s">
        <v>1690</v>
      </c>
    </row>
    <row r="658">
      <c r="A658" s="28" t="s">
        <v>1691</v>
      </c>
      <c r="B658" s="28" t="s">
        <v>131</v>
      </c>
    </row>
    <row r="659">
      <c r="A659" s="28" t="s">
        <v>1693</v>
      </c>
      <c r="B659" s="28" t="s">
        <v>1694</v>
      </c>
    </row>
    <row r="660">
      <c r="A660" s="28" t="s">
        <v>1695</v>
      </c>
      <c r="B660" s="28" t="s">
        <v>1698</v>
      </c>
    </row>
    <row r="661">
      <c r="A661" s="28" t="s">
        <v>1700</v>
      </c>
      <c r="B661" s="28" t="s">
        <v>1701</v>
      </c>
    </row>
    <row r="662">
      <c r="A662" s="28" t="s">
        <v>1702</v>
      </c>
      <c r="B662" s="28" t="s">
        <v>1703</v>
      </c>
    </row>
    <row r="663">
      <c r="A663" s="28" t="s">
        <v>1704</v>
      </c>
      <c r="B663" s="28" t="s">
        <v>1705</v>
      </c>
    </row>
    <row r="664">
      <c r="A664" s="28" t="s">
        <v>1706</v>
      </c>
      <c r="B664" s="28" t="s">
        <v>1707</v>
      </c>
    </row>
    <row r="665">
      <c r="A665" s="28" t="s">
        <v>1708</v>
      </c>
      <c r="B665" s="28" t="s">
        <v>1709</v>
      </c>
    </row>
    <row r="666">
      <c r="A666" s="28" t="s">
        <v>1710</v>
      </c>
      <c r="B666" s="28" t="s">
        <v>1711</v>
      </c>
    </row>
    <row r="667">
      <c r="A667" s="28" t="s">
        <v>1712</v>
      </c>
      <c r="B667" s="28" t="s">
        <v>1713</v>
      </c>
    </row>
    <row r="668">
      <c r="A668" s="28" t="s">
        <v>1715</v>
      </c>
      <c r="B668" s="28" t="s">
        <v>1716</v>
      </c>
    </row>
    <row r="669">
      <c r="A669" s="28" t="s">
        <v>1718</v>
      </c>
      <c r="B669" s="28" t="s">
        <v>1719</v>
      </c>
    </row>
    <row r="670">
      <c r="A670" s="28" t="s">
        <v>1720</v>
      </c>
      <c r="B670" s="28" t="s">
        <v>1721</v>
      </c>
    </row>
    <row r="671">
      <c r="A671" s="28" t="s">
        <v>1722</v>
      </c>
      <c r="B671" s="28" t="s">
        <v>1724</v>
      </c>
    </row>
    <row r="672">
      <c r="A672" s="28" t="s">
        <v>1725</v>
      </c>
      <c r="B672" s="28" t="s">
        <v>1726</v>
      </c>
    </row>
    <row r="673">
      <c r="A673" s="28" t="s">
        <v>1727</v>
      </c>
      <c r="B673" s="28" t="s">
        <v>1728</v>
      </c>
    </row>
    <row r="674">
      <c r="A674" s="28" t="s">
        <v>1730</v>
      </c>
      <c r="B674" s="28" t="s">
        <v>1732</v>
      </c>
    </row>
    <row r="675">
      <c r="A675" s="28" t="s">
        <v>1733</v>
      </c>
      <c r="B675" s="28" t="s">
        <v>1734</v>
      </c>
    </row>
    <row r="676">
      <c r="A676" s="28" t="s">
        <v>1735</v>
      </c>
      <c r="B676" s="28" t="s">
        <v>1737</v>
      </c>
    </row>
    <row r="677">
      <c r="A677" s="28" t="s">
        <v>1738</v>
      </c>
      <c r="B677" s="28" t="s">
        <v>1739</v>
      </c>
    </row>
    <row r="678">
      <c r="A678" s="28" t="s">
        <v>1740</v>
      </c>
      <c r="B678" s="28" t="s">
        <v>1741</v>
      </c>
    </row>
    <row r="679">
      <c r="A679" s="28" t="s">
        <v>1743</v>
      </c>
      <c r="B679" s="28" t="s">
        <v>1744</v>
      </c>
    </row>
    <row r="680">
      <c r="A680" s="28" t="s">
        <v>1745</v>
      </c>
      <c r="B680" s="28" t="s">
        <v>1746</v>
      </c>
    </row>
    <row r="681">
      <c r="A681" s="28" t="s">
        <v>1747</v>
      </c>
      <c r="B681" s="28" t="s">
        <v>1748</v>
      </c>
    </row>
    <row r="682">
      <c r="A682" s="28" t="s">
        <v>1749</v>
      </c>
      <c r="B682" s="28" t="s">
        <v>1750</v>
      </c>
    </row>
    <row r="683">
      <c r="A683" s="28" t="s">
        <v>1751</v>
      </c>
      <c r="B683" s="28" t="s">
        <v>1752</v>
      </c>
    </row>
    <row r="684">
      <c r="A684" s="28" t="s">
        <v>1753</v>
      </c>
      <c r="B684" s="28" t="s">
        <v>1755</v>
      </c>
    </row>
    <row r="685">
      <c r="A685" s="28" t="s">
        <v>1756</v>
      </c>
      <c r="B685" s="28" t="s">
        <v>1757</v>
      </c>
    </row>
    <row r="686">
      <c r="A686" s="28" t="s">
        <v>1759</v>
      </c>
      <c r="B686" s="28" t="s">
        <v>1760</v>
      </c>
    </row>
    <row r="687">
      <c r="A687" s="28" t="s">
        <v>1762</v>
      </c>
      <c r="B687" s="28" t="s">
        <v>1763</v>
      </c>
    </row>
    <row r="688">
      <c r="A688" s="28" t="s">
        <v>1764</v>
      </c>
      <c r="B688" s="28" t="s">
        <v>1765</v>
      </c>
    </row>
    <row r="689">
      <c r="A689" s="28" t="s">
        <v>1766</v>
      </c>
      <c r="B689" s="28" t="s">
        <v>1767</v>
      </c>
    </row>
    <row r="690">
      <c r="A690" s="28" t="s">
        <v>1768</v>
      </c>
      <c r="B690" s="28" t="s">
        <v>1769</v>
      </c>
    </row>
    <row r="691">
      <c r="A691" s="28" t="s">
        <v>1770</v>
      </c>
      <c r="B691" s="28" t="s">
        <v>1771</v>
      </c>
    </row>
    <row r="692">
      <c r="A692" s="28" t="s">
        <v>1772</v>
      </c>
      <c r="B692" s="28" t="s">
        <v>1773</v>
      </c>
    </row>
    <row r="693">
      <c r="A693" s="28" t="s">
        <v>1774</v>
      </c>
      <c r="B693" s="28" t="s">
        <v>1775</v>
      </c>
    </row>
    <row r="694">
      <c r="A694" s="28" t="s">
        <v>1776</v>
      </c>
      <c r="B694" s="28" t="s">
        <v>1778</v>
      </c>
    </row>
    <row r="695">
      <c r="A695" s="28" t="s">
        <v>1780</v>
      </c>
      <c r="B695" s="28" t="s">
        <v>1781</v>
      </c>
    </row>
    <row r="696">
      <c r="A696" s="28" t="s">
        <v>1782</v>
      </c>
      <c r="B696" s="28" t="s">
        <v>1783</v>
      </c>
    </row>
    <row r="697">
      <c r="A697" s="28" t="s">
        <v>1784</v>
      </c>
      <c r="B697" s="28" t="s">
        <v>1786</v>
      </c>
    </row>
    <row r="698">
      <c r="A698" s="28" t="s">
        <v>1787</v>
      </c>
      <c r="B698" s="28" t="s">
        <v>1788</v>
      </c>
    </row>
    <row r="699">
      <c r="A699" s="28" t="s">
        <v>1789</v>
      </c>
      <c r="B699" s="28" t="s">
        <v>1790</v>
      </c>
    </row>
    <row r="700">
      <c r="A700" s="28" t="s">
        <v>1791</v>
      </c>
      <c r="B700" s="28" t="s">
        <v>1793</v>
      </c>
    </row>
    <row r="701">
      <c r="A701" s="28" t="s">
        <v>1794</v>
      </c>
      <c r="B701" s="28" t="s">
        <v>1795</v>
      </c>
    </row>
    <row r="702">
      <c r="A702" s="28" t="s">
        <v>1796</v>
      </c>
      <c r="B702" s="28" t="s">
        <v>1797</v>
      </c>
    </row>
    <row r="703">
      <c r="A703" s="28" t="s">
        <v>1799</v>
      </c>
      <c r="B703" s="28" t="s">
        <v>1800</v>
      </c>
    </row>
    <row r="704">
      <c r="A704" s="28" t="s">
        <v>1801</v>
      </c>
      <c r="B704" s="28" t="s">
        <v>1803</v>
      </c>
    </row>
    <row r="705">
      <c r="A705" s="28" t="s">
        <v>1805</v>
      </c>
      <c r="B705" s="28" t="s">
        <v>1806</v>
      </c>
    </row>
    <row r="706">
      <c r="A706" s="28" t="s">
        <v>1807</v>
      </c>
      <c r="B706" s="28" t="s">
        <v>1809</v>
      </c>
    </row>
    <row r="707">
      <c r="A707" s="28" t="s">
        <v>1810</v>
      </c>
      <c r="B707" s="28" t="s">
        <v>1811</v>
      </c>
    </row>
    <row r="708">
      <c r="A708" s="28" t="s">
        <v>1812</v>
      </c>
      <c r="B708" s="28" t="s">
        <v>1813</v>
      </c>
    </row>
    <row r="709">
      <c r="A709" s="28" t="s">
        <v>1814</v>
      </c>
      <c r="B709" s="28" t="s">
        <v>1815</v>
      </c>
    </row>
    <row r="710">
      <c r="A710" s="28" t="s">
        <v>1816</v>
      </c>
      <c r="B710" s="28" t="s">
        <v>1817</v>
      </c>
    </row>
    <row r="711">
      <c r="A711" s="28" t="s">
        <v>1818</v>
      </c>
      <c r="B711" s="28" t="s">
        <v>1819</v>
      </c>
    </row>
    <row r="712">
      <c r="A712" s="28" t="s">
        <v>1820</v>
      </c>
      <c r="B712" s="28" t="s">
        <v>1821</v>
      </c>
    </row>
    <row r="713">
      <c r="A713" s="28" t="s">
        <v>1823</v>
      </c>
      <c r="B713" s="28" t="s">
        <v>1824</v>
      </c>
    </row>
    <row r="714">
      <c r="A714" s="28" t="s">
        <v>1825</v>
      </c>
      <c r="B714" s="28" t="s">
        <v>1826</v>
      </c>
    </row>
    <row r="715">
      <c r="A715" s="28" t="s">
        <v>1827</v>
      </c>
      <c r="B715" s="28" t="s">
        <v>1828</v>
      </c>
    </row>
    <row r="716">
      <c r="A716" s="28" t="s">
        <v>1829</v>
      </c>
      <c r="B716" s="28" t="s">
        <v>1830</v>
      </c>
    </row>
    <row r="717">
      <c r="A717" s="28" t="s">
        <v>1832</v>
      </c>
      <c r="B717" s="28" t="s">
        <v>1834</v>
      </c>
    </row>
    <row r="718">
      <c r="A718" s="28" t="s">
        <v>1836</v>
      </c>
      <c r="B718" s="28" t="s">
        <v>1837</v>
      </c>
    </row>
    <row r="719">
      <c r="A719" s="28" t="s">
        <v>1838</v>
      </c>
      <c r="B719" s="28" t="s">
        <v>218</v>
      </c>
    </row>
    <row r="720">
      <c r="A720" s="28" t="s">
        <v>1839</v>
      </c>
      <c r="B720" s="28" t="s">
        <v>1840</v>
      </c>
    </row>
    <row r="721">
      <c r="A721" s="28" t="s">
        <v>1841</v>
      </c>
      <c r="B721" s="28" t="s">
        <v>1842</v>
      </c>
    </row>
    <row r="722">
      <c r="A722" s="28" t="s">
        <v>1843</v>
      </c>
      <c r="B722" s="28" t="s">
        <v>1844</v>
      </c>
    </row>
    <row r="723">
      <c r="A723" s="28" t="s">
        <v>1848</v>
      </c>
      <c r="B723" s="28" t="s">
        <v>1850</v>
      </c>
    </row>
    <row r="724">
      <c r="A724" s="28" t="s">
        <v>1851</v>
      </c>
      <c r="B724" s="28" t="s">
        <v>1852</v>
      </c>
    </row>
    <row r="725">
      <c r="A725" s="28" t="s">
        <v>1853</v>
      </c>
      <c r="B725" s="28" t="s">
        <v>1854</v>
      </c>
    </row>
    <row r="726">
      <c r="A726" s="28" t="s">
        <v>1855</v>
      </c>
      <c r="B726" s="28" t="s">
        <v>1857</v>
      </c>
    </row>
    <row r="727">
      <c r="A727" s="28" t="s">
        <v>1858</v>
      </c>
      <c r="B727" s="28" t="s">
        <v>1859</v>
      </c>
    </row>
    <row r="728">
      <c r="A728" s="28" t="s">
        <v>1860</v>
      </c>
      <c r="B728" s="28" t="s">
        <v>1861</v>
      </c>
    </row>
    <row r="729">
      <c r="A729" s="28" t="s">
        <v>1862</v>
      </c>
      <c r="B729" s="28" t="s">
        <v>1863</v>
      </c>
    </row>
    <row r="730">
      <c r="A730" s="28" t="s">
        <v>1864</v>
      </c>
      <c r="B730" s="28" t="s">
        <v>1865</v>
      </c>
    </row>
    <row r="731">
      <c r="A731" s="28" t="s">
        <v>1867</v>
      </c>
      <c r="B731" s="28" t="s">
        <v>1868</v>
      </c>
    </row>
    <row r="732">
      <c r="A732" s="28" t="s">
        <v>1870</v>
      </c>
      <c r="B732" s="28" t="s">
        <v>1873</v>
      </c>
    </row>
    <row r="733">
      <c r="A733" s="28" t="s">
        <v>1874</v>
      </c>
      <c r="B733" s="28" t="s">
        <v>1875</v>
      </c>
    </row>
    <row r="734">
      <c r="A734" s="28" t="s">
        <v>1876</v>
      </c>
      <c r="B734" s="28" t="s">
        <v>1878</v>
      </c>
    </row>
    <row r="735">
      <c r="A735" s="28" t="s">
        <v>1879</v>
      </c>
      <c r="B735" s="28" t="s">
        <v>1880</v>
      </c>
    </row>
    <row r="736">
      <c r="A736" s="28" t="s">
        <v>1882</v>
      </c>
      <c r="B736" s="28" t="s">
        <v>1883</v>
      </c>
    </row>
    <row r="737">
      <c r="A737" s="28" t="s">
        <v>1884</v>
      </c>
      <c r="B737" s="28" t="s">
        <v>1885</v>
      </c>
    </row>
    <row r="738">
      <c r="A738" s="28" t="s">
        <v>1886</v>
      </c>
      <c r="B738" s="28" t="s">
        <v>1887</v>
      </c>
    </row>
    <row r="739">
      <c r="A739" s="28" t="s">
        <v>1888</v>
      </c>
      <c r="B739" s="28" t="s">
        <v>1889</v>
      </c>
    </row>
    <row r="740">
      <c r="A740" s="28" t="s">
        <v>1890</v>
      </c>
      <c r="B740" s="28" t="s">
        <v>1891</v>
      </c>
    </row>
    <row r="741">
      <c r="A741" s="28" t="s">
        <v>1892</v>
      </c>
      <c r="B741" s="28" t="s">
        <v>1893</v>
      </c>
    </row>
    <row r="742">
      <c r="A742" s="28" t="s">
        <v>1894</v>
      </c>
      <c r="B742" s="28" t="s">
        <v>1896</v>
      </c>
    </row>
    <row r="743">
      <c r="A743" s="28" t="s">
        <v>1897</v>
      </c>
      <c r="B743" s="28" t="s">
        <v>1898</v>
      </c>
    </row>
    <row r="744">
      <c r="A744" s="28" t="s">
        <v>1899</v>
      </c>
      <c r="B744" s="28" t="s">
        <v>1900</v>
      </c>
    </row>
    <row r="745">
      <c r="A745" s="28" t="s">
        <v>1901</v>
      </c>
      <c r="B745" s="28" t="s">
        <v>1903</v>
      </c>
    </row>
    <row r="746">
      <c r="A746" s="28" t="s">
        <v>1905</v>
      </c>
      <c r="B746" s="28" t="s">
        <v>1906</v>
      </c>
    </row>
    <row r="747">
      <c r="A747" s="28" t="s">
        <v>1907</v>
      </c>
      <c r="B747" s="28" t="s">
        <v>1908</v>
      </c>
    </row>
    <row r="748">
      <c r="A748" s="28" t="s">
        <v>1910</v>
      </c>
      <c r="B748" s="28" t="s">
        <v>432</v>
      </c>
    </row>
    <row r="749">
      <c r="A749" s="28" t="s">
        <v>1911</v>
      </c>
      <c r="B749" s="28" t="s">
        <v>1912</v>
      </c>
    </row>
    <row r="750">
      <c r="A750" s="28" t="s">
        <v>1913</v>
      </c>
      <c r="B750" s="28" t="s">
        <v>1914</v>
      </c>
    </row>
    <row r="751">
      <c r="A751" s="28" t="s">
        <v>1915</v>
      </c>
      <c r="B751" s="28" t="s">
        <v>1916</v>
      </c>
    </row>
    <row r="752">
      <c r="A752" s="28" t="s">
        <v>1917</v>
      </c>
      <c r="B752" s="28" t="s">
        <v>1919</v>
      </c>
    </row>
    <row r="753">
      <c r="A753" s="28" t="s">
        <v>1921</v>
      </c>
      <c r="B753" s="28" t="s">
        <v>1922</v>
      </c>
    </row>
    <row r="754">
      <c r="A754" s="28" t="s">
        <v>1923</v>
      </c>
      <c r="B754" s="28" t="s">
        <v>1924</v>
      </c>
    </row>
    <row r="755">
      <c r="A755" s="28" t="s">
        <v>1925</v>
      </c>
      <c r="B755" s="28" t="s">
        <v>1927</v>
      </c>
    </row>
    <row r="756">
      <c r="A756" s="28" t="s">
        <v>1928</v>
      </c>
      <c r="B756" s="28" t="s">
        <v>1929</v>
      </c>
    </row>
    <row r="757">
      <c r="A757" s="28" t="s">
        <v>1930</v>
      </c>
      <c r="B757" s="28" t="s">
        <v>521</v>
      </c>
    </row>
    <row r="758">
      <c r="A758" s="28" t="s">
        <v>1931</v>
      </c>
      <c r="B758" s="28" t="s">
        <v>1932</v>
      </c>
    </row>
    <row r="759">
      <c r="A759" s="28" t="s">
        <v>1934</v>
      </c>
      <c r="B759" s="28" t="s">
        <v>1935</v>
      </c>
    </row>
    <row r="760">
      <c r="A760" s="28" t="s">
        <v>1937</v>
      </c>
      <c r="B760" s="28" t="s">
        <v>1938</v>
      </c>
    </row>
    <row r="761">
      <c r="A761" s="28" t="s">
        <v>1940</v>
      </c>
      <c r="B761" s="28" t="s">
        <v>1941</v>
      </c>
    </row>
    <row r="762">
      <c r="A762" s="28" t="s">
        <v>1942</v>
      </c>
      <c r="B762" s="28" t="s">
        <v>1943</v>
      </c>
    </row>
    <row r="763">
      <c r="A763" s="28" t="s">
        <v>1944</v>
      </c>
      <c r="B763" s="28" t="s">
        <v>1945</v>
      </c>
    </row>
    <row r="764">
      <c r="A764" s="28" t="s">
        <v>1946</v>
      </c>
      <c r="B764" s="28" t="s">
        <v>1947</v>
      </c>
    </row>
    <row r="765">
      <c r="A765" s="28" t="s">
        <v>1948</v>
      </c>
      <c r="B765" s="28" t="s">
        <v>1949</v>
      </c>
    </row>
    <row r="766">
      <c r="A766" s="28" t="s">
        <v>1950</v>
      </c>
      <c r="B766" s="28" t="s">
        <v>1951</v>
      </c>
    </row>
    <row r="767">
      <c r="A767" s="28" t="s">
        <v>1952</v>
      </c>
      <c r="B767" s="28" t="s">
        <v>1954</v>
      </c>
    </row>
    <row r="768">
      <c r="A768" s="28" t="s">
        <v>1955</v>
      </c>
      <c r="B768" s="28" t="s">
        <v>1957</v>
      </c>
    </row>
    <row r="769">
      <c r="A769" s="28" t="s">
        <v>1958</v>
      </c>
      <c r="B769" s="28" t="s">
        <v>1960</v>
      </c>
    </row>
    <row r="770">
      <c r="A770" s="28" t="s">
        <v>1961</v>
      </c>
      <c r="B770" s="28" t="s">
        <v>1962</v>
      </c>
    </row>
    <row r="771">
      <c r="A771" s="28" t="s">
        <v>1963</v>
      </c>
      <c r="B771" s="28" t="s">
        <v>1965</v>
      </c>
    </row>
    <row r="772">
      <c r="A772" s="28" t="s">
        <v>1966</v>
      </c>
      <c r="B772" s="28" t="s">
        <v>1967</v>
      </c>
    </row>
    <row r="773">
      <c r="A773" s="28" t="s">
        <v>1968</v>
      </c>
      <c r="B773" s="28" t="s">
        <v>1969</v>
      </c>
    </row>
    <row r="774">
      <c r="A774" s="28" t="s">
        <v>1970</v>
      </c>
      <c r="B774" s="28" t="s">
        <v>1971</v>
      </c>
    </row>
    <row r="775">
      <c r="A775" s="28" t="s">
        <v>1972</v>
      </c>
      <c r="B775" s="28" t="s">
        <v>1973</v>
      </c>
    </row>
    <row r="776">
      <c r="A776" s="28" t="s">
        <v>1975</v>
      </c>
      <c r="B776" s="28" t="s">
        <v>1976</v>
      </c>
    </row>
    <row r="777">
      <c r="A777" s="28" t="s">
        <v>1978</v>
      </c>
      <c r="B777" s="28" t="s">
        <v>1979</v>
      </c>
    </row>
    <row r="778">
      <c r="A778" s="28" t="s">
        <v>1980</v>
      </c>
      <c r="B778" s="28" t="s">
        <v>1982</v>
      </c>
    </row>
    <row r="779">
      <c r="A779" s="28" t="s">
        <v>1983</v>
      </c>
      <c r="B779" s="28" t="s">
        <v>1984</v>
      </c>
    </row>
    <row r="780">
      <c r="A780" s="28" t="s">
        <v>1985</v>
      </c>
      <c r="B780" s="28" t="s">
        <v>1986</v>
      </c>
    </row>
    <row r="781">
      <c r="A781" s="28" t="s">
        <v>1987</v>
      </c>
      <c r="B781" s="28" t="s">
        <v>1988</v>
      </c>
    </row>
    <row r="782">
      <c r="A782" s="28" t="s">
        <v>1989</v>
      </c>
      <c r="B782" s="28" t="s">
        <v>1990</v>
      </c>
    </row>
    <row r="783">
      <c r="A783" s="28" t="s">
        <v>1992</v>
      </c>
      <c r="B783" s="28" t="s">
        <v>1993</v>
      </c>
    </row>
    <row r="784">
      <c r="A784" s="28" t="s">
        <v>1994</v>
      </c>
      <c r="B784" s="28" t="s">
        <v>1995</v>
      </c>
    </row>
    <row r="785">
      <c r="A785" s="28" t="s">
        <v>1997</v>
      </c>
      <c r="B785" s="28" t="s">
        <v>1998</v>
      </c>
    </row>
    <row r="786">
      <c r="A786" s="28" t="s">
        <v>1999</v>
      </c>
      <c r="B786" s="28" t="s">
        <v>2001</v>
      </c>
    </row>
    <row r="787">
      <c r="A787" s="28" t="s">
        <v>2002</v>
      </c>
      <c r="B787" s="28" t="s">
        <v>2003</v>
      </c>
    </row>
    <row r="788">
      <c r="A788" s="28" t="s">
        <v>2004</v>
      </c>
      <c r="B788" s="28" t="s">
        <v>2005</v>
      </c>
    </row>
    <row r="789">
      <c r="A789" s="28" t="s">
        <v>2006</v>
      </c>
      <c r="B789" s="28" t="s">
        <v>2008</v>
      </c>
    </row>
    <row r="790">
      <c r="A790" s="28" t="s">
        <v>2009</v>
      </c>
      <c r="B790" s="28" t="s">
        <v>2010</v>
      </c>
    </row>
    <row r="791">
      <c r="A791" s="28" t="s">
        <v>2012</v>
      </c>
      <c r="B791" s="28" t="s">
        <v>2013</v>
      </c>
    </row>
    <row r="792">
      <c r="A792" s="28" t="s">
        <v>2014</v>
      </c>
      <c r="B792" s="28" t="s">
        <v>551</v>
      </c>
    </row>
    <row r="793">
      <c r="A793" s="28" t="s">
        <v>2015</v>
      </c>
      <c r="B793" s="28" t="s">
        <v>2016</v>
      </c>
    </row>
    <row r="794">
      <c r="A794" s="28" t="s">
        <v>2018</v>
      </c>
      <c r="B794" s="28" t="s">
        <v>2019</v>
      </c>
    </row>
    <row r="795">
      <c r="A795" s="28" t="s">
        <v>2020</v>
      </c>
      <c r="B795" s="28" t="s">
        <v>2021</v>
      </c>
    </row>
    <row r="796">
      <c r="A796" s="28" t="s">
        <v>2022</v>
      </c>
      <c r="B796" s="28" t="s">
        <v>2023</v>
      </c>
    </row>
    <row r="797">
      <c r="A797" s="28" t="s">
        <v>2024</v>
      </c>
      <c r="B797" s="28" t="s">
        <v>2025</v>
      </c>
    </row>
    <row r="798">
      <c r="A798" s="28" t="s">
        <v>2027</v>
      </c>
      <c r="B798" s="28" t="s">
        <v>2028</v>
      </c>
    </row>
    <row r="799">
      <c r="A799" s="28" t="s">
        <v>2029</v>
      </c>
      <c r="B799" s="28" t="s">
        <v>2030</v>
      </c>
    </row>
    <row r="800">
      <c r="A800" s="28" t="s">
        <v>2032</v>
      </c>
      <c r="B800" s="28" t="s">
        <v>2033</v>
      </c>
    </row>
    <row r="801">
      <c r="A801" s="28" t="s">
        <v>2034</v>
      </c>
      <c r="B801" s="28" t="s">
        <v>2035</v>
      </c>
    </row>
    <row r="802">
      <c r="A802" s="28" t="s">
        <v>2036</v>
      </c>
      <c r="B802" s="28" t="s">
        <v>2037</v>
      </c>
    </row>
    <row r="803">
      <c r="A803" s="28" t="s">
        <v>2039</v>
      </c>
      <c r="B803" s="28" t="s">
        <v>2040</v>
      </c>
    </row>
    <row r="804">
      <c r="A804" s="28" t="s">
        <v>2041</v>
      </c>
      <c r="B804" s="28" t="s">
        <v>2042</v>
      </c>
    </row>
    <row r="805">
      <c r="A805" s="28" t="s">
        <v>2043</v>
      </c>
      <c r="B805" s="28" t="s">
        <v>2044</v>
      </c>
    </row>
    <row r="806">
      <c r="A806" s="28" t="s">
        <v>2045</v>
      </c>
      <c r="B806" s="28" t="s">
        <v>2046</v>
      </c>
    </row>
    <row r="807">
      <c r="A807" s="28" t="s">
        <v>2047</v>
      </c>
      <c r="B807" s="28" t="s">
        <v>2048</v>
      </c>
    </row>
    <row r="808">
      <c r="A808" s="28" t="s">
        <v>2049</v>
      </c>
      <c r="B808" s="28" t="s">
        <v>2050</v>
      </c>
    </row>
    <row r="809">
      <c r="A809" s="28" t="s">
        <v>2051</v>
      </c>
      <c r="B809" s="28" t="s">
        <v>2053</v>
      </c>
    </row>
    <row r="810">
      <c r="A810" s="28" t="s">
        <v>2054</v>
      </c>
      <c r="B810" s="28" t="s">
        <v>2056</v>
      </c>
    </row>
    <row r="811">
      <c r="A811" s="28" t="s">
        <v>2057</v>
      </c>
      <c r="B811" s="28" t="s">
        <v>2060</v>
      </c>
    </row>
    <row r="812">
      <c r="A812" s="28" t="s">
        <v>2062</v>
      </c>
      <c r="B812" s="28" t="s">
        <v>2063</v>
      </c>
    </row>
    <row r="813">
      <c r="A813" s="28" t="s">
        <v>2064</v>
      </c>
      <c r="B813" s="28" t="s">
        <v>2065</v>
      </c>
    </row>
    <row r="814">
      <c r="A814" s="28" t="s">
        <v>2066</v>
      </c>
      <c r="B814" s="28" t="s">
        <v>2067</v>
      </c>
    </row>
    <row r="815">
      <c r="A815" s="28" t="s">
        <v>2068</v>
      </c>
      <c r="B815" s="28" t="s">
        <v>2069</v>
      </c>
    </row>
    <row r="816">
      <c r="A816" s="28" t="s">
        <v>2070</v>
      </c>
      <c r="B816" s="28" t="s">
        <v>2071</v>
      </c>
    </row>
    <row r="817">
      <c r="A817" s="28" t="s">
        <v>2072</v>
      </c>
      <c r="B817" s="28" t="s">
        <v>2073</v>
      </c>
    </row>
    <row r="818">
      <c r="A818" s="28" t="s">
        <v>2074</v>
      </c>
      <c r="B818" s="28" t="s">
        <v>2075</v>
      </c>
    </row>
    <row r="819">
      <c r="A819" s="28" t="s">
        <v>2077</v>
      </c>
      <c r="B819" s="28" t="s">
        <v>2078</v>
      </c>
    </row>
    <row r="820">
      <c r="A820" s="28" t="s">
        <v>2079</v>
      </c>
      <c r="B820" s="28" t="s">
        <v>2081</v>
      </c>
    </row>
    <row r="821">
      <c r="A821" s="28" t="s">
        <v>2082</v>
      </c>
      <c r="B821" s="28" t="s">
        <v>2083</v>
      </c>
    </row>
    <row r="822">
      <c r="A822" s="28" t="s">
        <v>2085</v>
      </c>
      <c r="B822" s="28" t="s">
        <v>2086</v>
      </c>
    </row>
    <row r="823">
      <c r="A823" s="28" t="s">
        <v>2087</v>
      </c>
      <c r="B823" s="28" t="s">
        <v>2088</v>
      </c>
    </row>
    <row r="824">
      <c r="A824" s="28" t="s">
        <v>2090</v>
      </c>
      <c r="B824" s="28" t="s">
        <v>2091</v>
      </c>
    </row>
    <row r="825">
      <c r="A825" s="28" t="s">
        <v>2092</v>
      </c>
      <c r="B825" s="28" t="s">
        <v>2093</v>
      </c>
    </row>
    <row r="826">
      <c r="A826" s="28" t="s">
        <v>2094</v>
      </c>
      <c r="B826" s="28" t="s">
        <v>2096</v>
      </c>
    </row>
    <row r="827">
      <c r="A827" s="28" t="s">
        <v>2098</v>
      </c>
      <c r="B827" s="28" t="s">
        <v>2099</v>
      </c>
    </row>
    <row r="828">
      <c r="A828" s="28" t="s">
        <v>2100</v>
      </c>
      <c r="B828" s="28" t="s">
        <v>2101</v>
      </c>
    </row>
    <row r="829">
      <c r="A829" s="28" t="s">
        <v>2102</v>
      </c>
      <c r="B829" s="28" t="s">
        <v>2103</v>
      </c>
    </row>
    <row r="830">
      <c r="A830" s="28" t="s">
        <v>2104</v>
      </c>
      <c r="B830" s="28" t="s">
        <v>2105</v>
      </c>
    </row>
    <row r="831">
      <c r="A831" s="28" t="s">
        <v>2106</v>
      </c>
      <c r="B831" s="28" t="s">
        <v>2107</v>
      </c>
    </row>
    <row r="832">
      <c r="A832" s="28" t="s">
        <v>2108</v>
      </c>
      <c r="B832" s="28" t="s">
        <v>2109</v>
      </c>
    </row>
    <row r="833">
      <c r="A833" s="28" t="s">
        <v>2110</v>
      </c>
      <c r="B833" s="28" t="s">
        <v>2111</v>
      </c>
    </row>
    <row r="834">
      <c r="A834" s="28" t="s">
        <v>2114</v>
      </c>
      <c r="B834" s="28" t="s">
        <v>2116</v>
      </c>
    </row>
    <row r="835">
      <c r="A835" s="28" t="s">
        <v>2117</v>
      </c>
      <c r="B835" s="28" t="s">
        <v>2118</v>
      </c>
    </row>
    <row r="836">
      <c r="A836" s="28" t="s">
        <v>2119</v>
      </c>
      <c r="B836" s="28" t="s">
        <v>2052</v>
      </c>
    </row>
    <row r="837">
      <c r="A837" s="28" t="s">
        <v>2120</v>
      </c>
      <c r="B837" s="28" t="s">
        <v>2121</v>
      </c>
    </row>
    <row r="838">
      <c r="A838" s="28" t="s">
        <v>2123</v>
      </c>
      <c r="B838" s="28" t="s">
        <v>2124</v>
      </c>
    </row>
    <row r="839">
      <c r="A839" s="28" t="s">
        <v>2125</v>
      </c>
      <c r="B839" s="28" t="s">
        <v>2126</v>
      </c>
    </row>
    <row r="840">
      <c r="A840" s="28" t="s">
        <v>2127</v>
      </c>
      <c r="B840" s="28" t="s">
        <v>2128</v>
      </c>
    </row>
    <row r="841">
      <c r="A841" s="28" t="s">
        <v>2129</v>
      </c>
      <c r="B841" s="28" t="s">
        <v>2130</v>
      </c>
    </row>
    <row r="842">
      <c r="A842" s="28" t="s">
        <v>2131</v>
      </c>
      <c r="B842" s="28" t="s">
        <v>2132</v>
      </c>
    </row>
    <row r="843">
      <c r="A843" s="28" t="s">
        <v>2134</v>
      </c>
      <c r="B843" s="28" t="s">
        <v>2136</v>
      </c>
    </row>
    <row r="844">
      <c r="A844" s="28" t="s">
        <v>2138</v>
      </c>
      <c r="B844" s="28" t="s">
        <v>2139</v>
      </c>
    </row>
    <row r="845">
      <c r="A845" s="28" t="s">
        <v>2140</v>
      </c>
      <c r="B845" s="28" t="s">
        <v>2141</v>
      </c>
    </row>
    <row r="846">
      <c r="A846" s="28" t="s">
        <v>2142</v>
      </c>
      <c r="B846" s="28" t="s">
        <v>2143</v>
      </c>
    </row>
    <row r="847">
      <c r="A847" s="28" t="s">
        <v>2144</v>
      </c>
      <c r="B847" s="28" t="s">
        <v>2145</v>
      </c>
    </row>
    <row r="848">
      <c r="A848" s="28" t="s">
        <v>2146</v>
      </c>
      <c r="B848" s="28" t="s">
        <v>2147</v>
      </c>
    </row>
    <row r="849">
      <c r="A849" s="28" t="s">
        <v>2148</v>
      </c>
      <c r="B849" s="28" t="s">
        <v>2149</v>
      </c>
    </row>
    <row r="850">
      <c r="A850" s="28" t="s">
        <v>2150</v>
      </c>
      <c r="B850" s="28" t="s">
        <v>2151</v>
      </c>
    </row>
    <row r="851">
      <c r="A851" s="28" t="s">
        <v>2153</v>
      </c>
      <c r="B851" s="28" t="s">
        <v>2154</v>
      </c>
    </row>
    <row r="852">
      <c r="A852" s="28" t="s">
        <v>2156</v>
      </c>
      <c r="B852" s="28" t="s">
        <v>2157</v>
      </c>
    </row>
    <row r="853">
      <c r="A853" s="28" t="s">
        <v>2158</v>
      </c>
      <c r="B853" s="28" t="s">
        <v>2160</v>
      </c>
    </row>
    <row r="854">
      <c r="A854" s="28" t="s">
        <v>2161</v>
      </c>
      <c r="B854" s="28" t="s">
        <v>2162</v>
      </c>
    </row>
    <row r="855">
      <c r="A855" s="28" t="s">
        <v>2163</v>
      </c>
      <c r="B855" s="28" t="s">
        <v>2164</v>
      </c>
    </row>
    <row r="856">
      <c r="A856" s="28" t="s">
        <v>2165</v>
      </c>
      <c r="B856" s="28" t="s">
        <v>2166</v>
      </c>
    </row>
    <row r="857">
      <c r="A857" s="28" t="s">
        <v>2167</v>
      </c>
      <c r="B857" s="28" t="s">
        <v>2168</v>
      </c>
    </row>
    <row r="858">
      <c r="A858" s="28" t="s">
        <v>2169</v>
      </c>
      <c r="B858" s="28" t="s">
        <v>2170</v>
      </c>
    </row>
    <row r="859">
      <c r="A859" s="28" t="s">
        <v>2171</v>
      </c>
      <c r="B859" s="28" t="s">
        <v>2172</v>
      </c>
    </row>
    <row r="860">
      <c r="A860" s="28" t="s">
        <v>2173</v>
      </c>
      <c r="B860" s="28" t="s">
        <v>2174</v>
      </c>
    </row>
    <row r="861">
      <c r="A861" s="28" t="s">
        <v>2175</v>
      </c>
      <c r="B861" s="28" t="s">
        <v>2176</v>
      </c>
    </row>
    <row r="862">
      <c r="A862" s="28" t="s">
        <v>2178</v>
      </c>
      <c r="B862" s="28" t="s">
        <v>2180</v>
      </c>
    </row>
    <row r="863">
      <c r="A863" s="28" t="s">
        <v>2181</v>
      </c>
      <c r="B863" s="28" t="s">
        <v>2182</v>
      </c>
    </row>
    <row r="864">
      <c r="A864" s="28" t="s">
        <v>2183</v>
      </c>
      <c r="B864" s="28" t="s">
        <v>1038</v>
      </c>
    </row>
    <row r="865">
      <c r="A865" s="28" t="s">
        <v>2185</v>
      </c>
      <c r="B865" s="28" t="s">
        <v>868</v>
      </c>
    </row>
    <row r="866">
      <c r="A866" s="28" t="s">
        <v>2186</v>
      </c>
      <c r="B866" s="28" t="s">
        <v>2187</v>
      </c>
    </row>
    <row r="867">
      <c r="A867" s="28" t="s">
        <v>2188</v>
      </c>
      <c r="B867" s="28" t="s">
        <v>2190</v>
      </c>
    </row>
    <row r="868">
      <c r="A868" s="28" t="s">
        <v>2191</v>
      </c>
      <c r="B868" s="28" t="s">
        <v>2193</v>
      </c>
    </row>
    <row r="869">
      <c r="A869" s="28" t="s">
        <v>2194</v>
      </c>
      <c r="B869" s="28" t="s">
        <v>2195</v>
      </c>
    </row>
    <row r="870">
      <c r="A870" s="28" t="s">
        <v>2196</v>
      </c>
      <c r="B870" s="28" t="s">
        <v>2197</v>
      </c>
    </row>
    <row r="871">
      <c r="A871" s="28" t="s">
        <v>2198</v>
      </c>
      <c r="B871" s="28" t="s">
        <v>2199</v>
      </c>
    </row>
    <row r="872">
      <c r="A872" s="28" t="s">
        <v>2200</v>
      </c>
      <c r="B872" s="28" t="s">
        <v>2201</v>
      </c>
    </row>
    <row r="873">
      <c r="A873" s="28" t="s">
        <v>2202</v>
      </c>
      <c r="B873" s="28" t="s">
        <v>2203</v>
      </c>
    </row>
    <row r="874">
      <c r="A874" s="28" t="s">
        <v>2204</v>
      </c>
      <c r="B874" s="28" t="s">
        <v>2205</v>
      </c>
    </row>
    <row r="875">
      <c r="A875" s="28" t="s">
        <v>2207</v>
      </c>
      <c r="B875" s="28" t="s">
        <v>2208</v>
      </c>
    </row>
    <row r="876">
      <c r="A876" s="28" t="s">
        <v>2209</v>
      </c>
      <c r="B876" s="28" t="s">
        <v>2211</v>
      </c>
    </row>
    <row r="877">
      <c r="A877" s="28" t="s">
        <v>2213</v>
      </c>
      <c r="B877" s="28" t="s">
        <v>2215</v>
      </c>
    </row>
    <row r="878">
      <c r="A878" s="28" t="s">
        <v>2216</v>
      </c>
      <c r="B878" s="28" t="s">
        <v>2217</v>
      </c>
    </row>
    <row r="879">
      <c r="A879" s="28" t="s">
        <v>2218</v>
      </c>
      <c r="B879" s="28" t="s">
        <v>2219</v>
      </c>
    </row>
  </sheetData>
  <drawing r:id="rId1"/>
</worksheet>
</file>